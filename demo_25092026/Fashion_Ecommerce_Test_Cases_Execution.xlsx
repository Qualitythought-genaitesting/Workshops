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Test Cases" sheetId="3" state="visible" r:id="rId5"/>
    <sheet name="E2E Procedures" sheetId="4" state="visible" r:id="rId6"/>
    <sheet name="E2E Summary" sheetId="5" state="visible" r:id="rId7"/>
    <sheet name="Traceability" sheetId="6" state="visible" r:id="rId8"/>
  </sheets>
  <definedNames>
    <definedName function="false" hidden="true" localSheetId="3" name="_xlnm._FilterDatabase" vbProcedure="false">'E2E Procedures'!$A$1:$P$108</definedName>
    <definedName function="false" hidden="true" localSheetId="2" name="_xlnm._FilterDatabase" vbProcedure="false">'Test Cases'!$A$1:$U$291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<sst xmlns="http://schemas.openxmlformats.org/spreadsheetml/2006/main" count="5399" uniqueCount="2021">
  <si>
    <t xml:space="preserve">Test Case Execution Workbook – Fashion E-commerce Application</t>
  </si>
  <si>
    <t xml:space="preserve">Document ID</t>
  </si>
  <si>
    <t xml:space="preserve">QT-FEC-TCS-001 v1.0 (companion to Test Case Specification PDF; parent plan QT-FEC-STP-001)</t>
  </si>
  <si>
    <t xml:space="preserve">Standard</t>
  </si>
  <si>
    <t xml:space="preserve">ISO/IEC/IEEE 29119-3:2021 – Test Case Specification, Test Procedure Specification, Test Execution Log</t>
  </si>
  <si>
    <t xml:space="preserve">Application</t>
  </si>
  <si>
    <t xml:space="preserve">https://fashion-ecommerce-we-lunb.bolt.host</t>
  </si>
  <si>
    <t xml:space="preserve">Prepared by</t>
  </si>
  <si>
    <t xml:space="preserve">Ram – Senior Test Manager, Quality Thought</t>
  </si>
  <si>
    <t xml:space="preserve">Sheets</t>
  </si>
  <si>
    <t xml:space="preserve">Test Cases</t>
  </si>
  <si>
    <t xml:space="preserve">290 functional test cases (positive + negative per acceptance criterion)</t>
  </si>
  <si>
    <t xml:space="preserve">E2E Procedures</t>
  </si>
  <si>
    <t xml:space="preserve">24 end-to-end journeys, one row per step (107 steps)</t>
  </si>
  <si>
    <t xml:space="preserve">E2E Summary</t>
  </si>
  <si>
    <t xml:space="preserve">One row per E2E procedure; status derived automatically from its steps</t>
  </si>
  <si>
    <t xml:space="preserve">Traceability</t>
  </si>
  <si>
    <t xml:space="preserve">User story → test cases → E2E procedures, with live execution counts</t>
  </si>
  <si>
    <t xml:space="preserve">Dashboard</t>
  </si>
  <si>
    <t xml:space="preserve">Live execution status by module, priority and type (formulas – no manual edits)</t>
  </si>
  <si>
    <t xml:space="preserve">How to execute</t>
  </si>
  <si>
    <t xml:space="preserve">Yellow cells</t>
  </si>
  <si>
    <t xml:space="preserve">Are the only cells testers edit: Actual Result, Status, Defect ID, Executed By, Execution Date, Browser / Device, Build ID, Comments</t>
  </si>
  <si>
    <t xml:space="preserve">Status values</t>
  </si>
  <si>
    <t xml:space="preserve">Not Run (default), Pass, Fail, Blocked, Deferred – pick from the drop-down</t>
  </si>
  <si>
    <t xml:space="preserve">On failure</t>
  </si>
  <si>
    <t xml:space="preserve">Log a defect against the User Story ID (e.g. US-19), then enter the defect ID in the row</t>
  </si>
  <si>
    <t xml:space="preserve">Critical cases</t>
  </si>
  <si>
    <t xml:space="preserve">Execute on every browser/device in test plan §13.2; add a row per extra run or record them in Comments</t>
  </si>
  <si>
    <t xml:space="preserve">Example row</t>
  </si>
  <si>
    <t xml:space="preserve">Test Cases row 2 (TC-US01-01) shows a filled example of the execution columns – reset it to Not Run before the first real cycle</t>
  </si>
  <si>
    <t xml:space="preserve">Assumed values</t>
  </si>
  <si>
    <t xml:space="preserve">Lockout threshold, session timeout, return window, coupon and gift card values are example test data pending Product Owner confirmation</t>
  </si>
  <si>
    <t xml:space="preserve">Execution Dashboard</t>
  </si>
  <si>
    <t xml:space="preserve">All values are formulas over the Test Cases and E2E sheets – they update as Status is changed.</t>
  </si>
  <si>
    <t xml:space="preserve">Functional test cases by module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</si>
  <si>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</si>
  <si>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</si>
  <si>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</si>
  <si>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</si>
  <si>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</si>
  <si>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Deferred</t>
  </si>
  <si>
    <t xml:space="preserve">Pass %</t>
  </si>
  <si>
    <t xml:space="preserve">M01 – Account Registration &amp; Authentication</t>
  </si>
  <si>
    <t xml:space="preserve">M02 – Home Page, Navigation &amp; Content</t>
  </si>
  <si>
    <t xml:space="preserve">M03 – Product Discovery: Search, Browse &amp; Filters</t>
  </si>
  <si>
    <t xml:space="preserve">M04 – Product Detail Page (PDP)</t>
  </si>
  <si>
    <t xml:space="preserve">M05 – Shopping Cart</t>
  </si>
  <si>
    <t xml:space="preserve">M06 – Checkout &amp; Payments</t>
  </si>
  <si>
    <t xml:space="preserve">M07 – Orders, Tracking, Returns &amp; Cancellations</t>
  </si>
  <si>
    <t xml:space="preserve">M08 – Account Management</t>
  </si>
  <si>
    <t xml:space="preserve">M09 – Notifications, Promotions &amp; Content</t>
  </si>
  <si>
    <t xml:space="preserve">M10 – Cross-Cutting: Performance, Security, Compatibility &amp; Accessibility</t>
  </si>
  <si>
    <t xml:space="preserve">By priority</t>
  </si>
  <si>
    <t xml:space="preserve">Critical</t>
  </si>
  <si>
    <t xml:space="preserve">High</t>
  </si>
  <si>
    <t xml:space="preserve">Medium</t>
  </si>
  <si>
    <t xml:space="preserve">Low</t>
  </si>
  <si>
    <t xml:space="preserve">By type</t>
  </si>
  <si>
    <t xml:space="preserve">Positive</t>
  </si>
  <si>
    <t xml:space="preserve">Negative</t>
  </si>
  <si>
    <t xml:space="preserve">End-to-end procedures</t>
  </si>
  <si>
    <t xml:space="preserve">In Progress</t>
  </si>
  <si>
    <t xml:space="preserve">E2E procedures</t>
  </si>
  <si>
    <t xml:space="preserve">User stories fully passed (of 60)</t>
  </si>
  <si>
    <t xml:space="preserve">Open failures linked to Critical stories</t>
  </si>
  <si>
    <t xml:space="preserve">TC ID</t>
  </si>
  <si>
    <t xml:space="preserve">Module</t>
  </si>
  <si>
    <t xml:space="preserve">User Story</t>
  </si>
  <si>
    <t xml:space="preserve">Story Title</t>
  </si>
  <si>
    <t xml:space="preserve">Priority</t>
  </si>
  <si>
    <t xml:space="preserve">AC #</t>
  </si>
  <si>
    <t xml:space="preserve">Acceptance Criterion</t>
  </si>
  <si>
    <t xml:space="preserve">Type</t>
  </si>
  <si>
    <t xml:space="preserve">Title / Objective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</si>
  <si>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</si>
  <si>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</si>
  <si>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</si>
  <si>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</si>
  <si>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</si>
  <si>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</si>
  <si>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</si>
  <si>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Executed By</t>
  </si>
  <si>
    <t xml:space="preserve">Execution Date</t>
  </si>
  <si>
    <t xml:space="preserve">Browser / Device</t>
  </si>
  <si>
    <t xml:space="preserve">Build ID</t>
  </si>
  <si>
    <t xml:space="preserve">Comments</t>
  </si>
  <si>
    <t xml:space="preserve">TC-US01-01</t>
  </si>
  <si>
    <t xml:space="preserve">M01</t>
  </si>
  <si>
    <t xml:space="preserve">US-01</t>
  </si>
  <si>
    <t xml:space="preserve">Register account with email &amp; password</t>
  </si>
  <si>
    <t xml:space="preserve">Registration form validates required fields (name, email, password, confirm password)</t>
  </si>
  <si>
    <t xml:space="preserve">Register with all mandatory fields valid</t>
  </si>
  <si>
    <t xml:space="preserve">User is logged out; Registration page is reachable from header "Sign up / Register"; test mailbox available</t>
  </si>
  <si>
    <t xml:space="preserve">1. Open Register page
2. Enter full name, unique email, valid password and matching confirm password
3. Click Register</t>
  </si>
  <si>
    <t xml:space="preserve">Name: Asha Rao; Email: qa.reg01+&lt;ts&gt;@testmail.com; Password: Qa@12345</t>
  </si>
  <si>
    <t xml:space="preserve">Account is created; success message or redirect shown; no field-level errors</t>
  </si>
  <si>
    <t xml:space="preserve">Account created; success toast shown; redirected to homepage logged in</t>
  </si>
  <si>
    <t xml:space="preserve">Ram</t>
  </si>
  <si>
    <t xml:space="preserve">Chrome 129 / Win 11</t>
  </si>
  <si>
    <t xml:space="preserve">TC-US01-02</t>
  </si>
  <si>
    <t xml:space="preserve">Submit with each mandatory field blank / invalid email format</t>
  </si>
  <si>
    <t xml:space="preserve">1. Leave Name blank and submit
2. Repeat for Email, Password, Confirm Password
3. Enter email "asha@", "asha.com", "@test.com" and submit</t>
  </si>
  <si>
    <t xml:space="preserve">Blank values; malformed emails</t>
  </si>
  <si>
    <t xml:space="preserve">Form is not submitted; inline error shown against the specific field; entered valid data is retained</t>
  </si>
  <si>
    <t xml:space="preserve">TC-US01-03</t>
  </si>
  <si>
    <t xml:space="preserve">Password enforces minimum strength rules (length, character mix)</t>
  </si>
  <si>
    <t xml:space="preserve">Accept password meeting strength policy</t>
  </si>
  <si>
    <t xml:space="preserve">1. Enter password with min length, upper, lower, digit and special character
2. Submit with other fields valid</t>
  </si>
  <si>
    <t xml:space="preserve">Password: Qa@12345 (8 chars) and Str0ng!Pass2026</t>
  </si>
  <si>
    <t xml:space="preserve">Password accepted; strength indicator (if any) shows Strong; account created</t>
  </si>
  <si>
    <t xml:space="preserve">TC-US01-04</t>
  </si>
  <si>
    <t xml:space="preserve">Reject weak passwords at boundary</t>
  </si>
  <si>
    <t xml:space="preserve">1. Enter password one character below min length
2. Enter all-lowercase, all-digit and no-special-character passwords
3. Enter password and non-matching confirm</t>
  </si>
  <si>
    <t xml:space="preserve">Qa@1234 (7 chars); password; 12345678; Qa123456; Confirm: Qa@12346</t>
  </si>
  <si>
    <t xml:space="preserve">Each attempt is rejected with a message stating the unmet rule; mismatch error shown for confirm field</t>
  </si>
  <si>
    <t xml:space="preserve">TC-US01-05</t>
  </si>
  <si>
    <t xml:space="preserve">Duplicate email registration is blocked with a clear error message</t>
  </si>
  <si>
    <t xml:space="preserve">Register with a never-used email succeeds</t>
  </si>
  <si>
    <t xml:space="preserve">1. Register with an email not in the system</t>
  </si>
  <si>
    <t xml:space="preserve">qa.unique+&lt;ts&gt;@testmail.com</t>
  </si>
  <si>
    <t xml:space="preserve">Registration succeeds; one account exists for this email</t>
  </si>
  <si>
    <t xml:space="preserve">TC-US01-06</t>
  </si>
  <si>
    <t xml:space="preserve">Register again with an existing email (case variants)</t>
  </si>
  <si>
    <t xml:space="preserve">1. Register with an already registered email
2. Repeat with the same email in UPPERCASE and with leading/trailing spaces</t>
  </si>
  <si>
    <t xml:space="preserve">existing: qa.reg01@testmail.com; QA.REG01@TESTMAIL.COM; " qa.reg01@testmail.com "</t>
  </si>
  <si>
    <t xml:space="preserve">Registration blocked with clear "email already registered" message and a link to login/reset; no second account created</t>
  </si>
  <si>
    <t xml:space="preserve">TC-US01-07</t>
  </si>
  <si>
    <t xml:space="preserve">Successful registration logs the user in or redirects to login/confirmation</t>
  </si>
  <si>
    <t xml:space="preserve">Post-registration landing is correct</t>
  </si>
  <si>
    <t xml:space="preserve">1. Complete a valid registration
2. Observe landing page and header</t>
  </si>
  <si>
    <t xml:space="preserve">Valid new user</t>
  </si>
  <si>
    <t xml:space="preserve">User is logged in (name shown in header) or redirected to login/confirmation page as per design; welcome/verification email received if applicable</t>
  </si>
  <si>
    <t xml:space="preserve">TC-US01-08</t>
  </si>
  <si>
    <t xml:space="preserve">Refresh / back after registration does not re-submit</t>
  </si>
  <si>
    <t xml:space="preserve">1. After successful registration press browser Back
2. Press F5 on the confirmation page</t>
  </si>
  <si>
    <t xml:space="preserve">—</t>
  </si>
  <si>
    <t xml:space="preserve">No duplicate account or error; user is not asked to resubmit form data</t>
  </si>
  <si>
    <t xml:space="preserve">TC-US02-01</t>
  </si>
  <si>
    <t xml:space="preserve">US-02</t>
  </si>
  <si>
    <t xml:space="preserve">Login with email &amp; password</t>
  </si>
  <si>
    <t xml:space="preserve">Valid credentials log the user in and redirect to homepage/account</t>
  </si>
  <si>
    <t xml:space="preserve">Login with valid credentials</t>
  </si>
  <si>
    <t xml:space="preserve">Registered, active account exists; user is logged out</t>
  </si>
  <si>
    <t xml:space="preserve">1. Open Login
2. Enter registered email and correct password
3. Click Login</t>
  </si>
  <si>
    <t xml:space="preserve">qa.user01@testmail.com / Qa@12345</t>
  </si>
  <si>
    <t xml:space="preserve">User logged in; redirected to homepage or My Account; user name visible in header</t>
  </si>
  <si>
    <t xml:space="preserve">TC-US02-02</t>
  </si>
  <si>
    <t xml:space="preserve">Login with email in different case / extra spaces</t>
  </si>
  <si>
    <t xml:space="preserve">1. Enter email in uppercase with trailing space and correct password
2. Submit</t>
  </si>
  <si>
    <t xml:space="preserve">" QA.USER01@TESTMAIL.COM "</t>
  </si>
  <si>
    <t xml:space="preserve">Login succeeds (email treated case-insensitively and trimmed) or a clear validation message is shown — never a system error</t>
  </si>
  <si>
    <t xml:space="preserve">TC-US02-03</t>
  </si>
  <si>
    <t xml:space="preserve">Invalid credentials show a generic, non-revealing error message</t>
  </si>
  <si>
    <t xml:space="preserve">Error message is generic for wrong password</t>
  </si>
  <si>
    <t xml:space="preserve">1. Enter registered email with wrong password
2. Submit</t>
  </si>
  <si>
    <t xml:space="preserve">qa.user01@testmail.com / Wrong@123</t>
  </si>
  <si>
    <t xml:space="preserve">Generic message such as "Invalid email or password"; password field cleared; no indication which field is wrong</t>
  </si>
  <si>
    <t xml:space="preserve">TC-US02-04</t>
  </si>
  <si>
    <t xml:space="preserve">Error message is identical for unregistered email</t>
  </si>
  <si>
    <t xml:space="preserve">1. Enter unregistered email with any password
2. Compare message with previous case</t>
  </si>
  <si>
    <t xml:space="preserve">nobody+&lt;ts&gt;@testmail.com</t>
  </si>
  <si>
    <t xml:space="preserve">Same generic message and same response time pattern; system does not reveal whether the email exists</t>
  </si>
  <si>
    <t xml:space="preserve">TC-US02-05</t>
  </si>
  <si>
    <t xml:space="preserve">Account locks or throttles after repeated failed attempts</t>
  </si>
  <si>
    <t xml:space="preserve">Login still allowed below lockout threshold</t>
  </si>
  <si>
    <t xml:space="preserve">1. Enter wrong password (threshold-1) times
2. Enter correct password</t>
  </si>
  <si>
    <t xml:space="preserve">Threshold per policy (e.g. 5)</t>
  </si>
  <si>
    <t xml:space="preserve">Login succeeds; failed-attempt counter resets</t>
  </si>
  <si>
    <t xml:space="preserve">TC-US02-06</t>
  </si>
  <si>
    <t xml:space="preserve">Lockout / throttle after threshold</t>
  </si>
  <si>
    <t xml:space="preserve">1. Enter wrong password threshold times
2. Try correct password immediately
3. Wait lockout period and retry</t>
  </si>
  <si>
    <t xml:space="preserve">5 consecutive failures</t>
  </si>
  <si>
    <t xml:space="preserve">Account locked or throttled with clear message (CAPTCHA/delay); correct password rejected during lock; login works after lock period or unlock via email</t>
  </si>
  <si>
    <t xml:space="preserve">TC-US03-01</t>
  </si>
  <si>
    <t xml:space="preserve">US-03</t>
  </si>
  <si>
    <t xml:space="preserve">Social / third-party login</t>
  </si>
  <si>
    <t xml:space="preserve">Social login button initiates OAuth flow correctly</t>
  </si>
  <si>
    <t xml:space="preserve">Google/Facebook button opens provider consent</t>
  </si>
  <si>
    <t xml:space="preserve">Google and Facebook OAuth apps configured for the test environment; test social accounts available</t>
  </si>
  <si>
    <t xml:space="preserve">1. Click "Continue with Google"
2. Verify provider URL and consent screen
3. Approve</t>
  </si>
  <si>
    <t xml:space="preserve">Google test account</t>
  </si>
  <si>
    <t xml:space="preserve">Provider login/consent over HTTPS opens; after approval user returns to site logged in</t>
  </si>
  <si>
    <t xml:space="preserve">TC-US03-02</t>
  </si>
  <si>
    <t xml:space="preserve">User cancels / denies consent</t>
  </si>
  <si>
    <t xml:space="preserve">1. Click social login
2. Cancel or deny on provider screen</t>
  </si>
  <si>
    <t xml:space="preserve">User returned to login page with friendly message; not logged in; no error page</t>
  </si>
  <si>
    <t xml:space="preserve">TC-US03-03</t>
  </si>
  <si>
    <t xml:space="preserve">New social users get an account auto-created with correct email</t>
  </si>
  <si>
    <t xml:space="preserve">First-time social login creates account</t>
  </si>
  <si>
    <t xml:space="preserve">1. Log in with a social account whose email is not registered
2. Open My Account &gt; Profile</t>
  </si>
  <si>
    <t xml:space="preserve">new.social@gmail.com</t>
  </si>
  <si>
    <t xml:space="preserve">Account created automatically; profile shows correct name and email from provider</t>
  </si>
  <si>
    <t xml:space="preserve">TC-US03-04</t>
  </si>
  <si>
    <t xml:space="preserve">Social account without email permission</t>
  </si>
  <si>
    <t xml:space="preserve">1. Log in with a social account that withholds email (Facebook: deny email scope)</t>
  </si>
  <si>
    <t xml:space="preserve">FB test user without email</t>
  </si>
  <si>
    <t xml:space="preserve">User is prompted to supply email or shown clear message; no account with blank email created</t>
  </si>
  <si>
    <t xml:space="preserve">TC-US03-05</t>
  </si>
  <si>
    <t xml:space="preserve">Existing email conflict is handled gracefully</t>
  </si>
  <si>
    <t xml:space="preserve">Social login with email already registered links or prompts</t>
  </si>
  <si>
    <t xml:space="preserve">1. Register qa.link@gmail.com with password
2. Log out
3. Use Google login with same email</t>
  </si>
  <si>
    <t xml:space="preserve">qa.link@gmail.com</t>
  </si>
  <si>
    <t xml:space="preserve">Accounts are linked (after verification) or user is asked to log in with password to link; single account remains</t>
  </si>
  <si>
    <t xml:space="preserve">TC-US03-06</t>
  </si>
  <si>
    <t xml:space="preserve">No duplicate account on conflict</t>
  </si>
  <si>
    <t xml:space="preserve">1. After conflict flow, check number of accounts/orders for that email</t>
  </si>
  <si>
    <t xml:space="preserve">Only one account; existing order history intact; no unhandled error</t>
  </si>
  <si>
    <t xml:space="preserve">TC-US04-01</t>
  </si>
  <si>
    <t xml:space="preserve">US-04</t>
  </si>
  <si>
    <t xml:space="preserve">Forgot / reset password</t>
  </si>
  <si>
    <t xml:space="preserve">Reset link is emailed only to registered addresses</t>
  </si>
  <si>
    <t xml:space="preserve">Request reset for a registered email</t>
  </si>
  <si>
    <t xml:space="preserve">Registered account exists; reset emails captured in test mailbox</t>
  </si>
  <si>
    <t xml:space="preserve">1. Click Forgot password
2. Enter registered email
3. Submit
4. Open mailbox</t>
  </si>
  <si>
    <t xml:space="preserve">qa.user01@testmail.com</t>
  </si>
  <si>
    <t xml:space="preserve">Neutral confirmation shown on screen; reset email with single-use link received promptly</t>
  </si>
  <si>
    <t xml:space="preserve">TC-US04-02</t>
  </si>
  <si>
    <t xml:space="preserve">Request reset for unregistered email</t>
  </si>
  <si>
    <t xml:space="preserve">1. Submit Forgot password with an unregistered email</t>
  </si>
  <si>
    <t xml:space="preserve">Same neutral on-screen message (no account enumeration); no email sent</t>
  </si>
  <si>
    <t xml:space="preserve">TC-US04-03</t>
  </si>
  <si>
    <t xml:space="preserve">Reset link expires after a defined time window</t>
  </si>
  <si>
    <t xml:space="preserve">Reset link works within validity window</t>
  </si>
  <si>
    <t xml:space="preserve">1. Request reset
2. Open link within the window
3. Set new valid password</t>
  </si>
  <si>
    <t xml:space="preserve">New password: Reset@2026</t>
  </si>
  <si>
    <t xml:space="preserve">Password updated; user can log in with new password; old password rejected</t>
  </si>
  <si>
    <t xml:space="preserve">TC-US04-04</t>
  </si>
  <si>
    <t xml:space="preserve">Expired and reused links are rejected</t>
  </si>
  <si>
    <t xml:space="preserve">1. Open a link after the expiry time
2. Open an already-used link
3. Request two resets and use the older link</t>
  </si>
  <si>
    <t xml:space="preserve">Link older than policy (e.g. 30 min)</t>
  </si>
  <si>
    <t xml:space="preserve">Clear "link expired/invalid" message with option to request a new one; password not changed</t>
  </si>
  <si>
    <t xml:space="preserve">TC-US04-05</t>
  </si>
  <si>
    <t xml:space="preserve">New password must meet strength requirements before being accepted</t>
  </si>
  <si>
    <t xml:space="preserve">Strong new password accepted</t>
  </si>
  <si>
    <t xml:space="preserve">1. On reset page enter strong password and matching confirm</t>
  </si>
  <si>
    <t xml:space="preserve">Reset@2026</t>
  </si>
  <si>
    <t xml:space="preserve">Password saved; confirmation shown</t>
  </si>
  <si>
    <t xml:space="preserve">TC-US04-06</t>
  </si>
  <si>
    <t xml:space="preserve">Weak or same-as-old password rejected</t>
  </si>
  <si>
    <t xml:space="preserve">1. Enter weak password
2. Enter mismatched confirm
3. Enter the current password (if policy forbids reuse)</t>
  </si>
  <si>
    <t xml:space="preserve">1234567; Qa@12345</t>
  </si>
  <si>
    <t xml:space="preserve">Rejected with rule-specific message; link remains valid until successful reset or expiry</t>
  </si>
  <si>
    <t xml:space="preserve">TC-US05-01</t>
  </si>
  <si>
    <t xml:space="preserve">US-05</t>
  </si>
  <si>
    <t xml:space="preserve">Logout</t>
  </si>
  <si>
    <t xml:space="preserve">Logout clears session/token and redirects to homepage or login</t>
  </si>
  <si>
    <t xml:space="preserve">Logout ends session</t>
  </si>
  <si>
    <t xml:space="preserve">User is logged in</t>
  </si>
  <si>
    <t xml:space="preserve">1. Click Logout from account menu
2. Inspect cookies/localStorage in DevTools</t>
  </si>
  <si>
    <t xml:space="preserve">Redirected to homepage/login; auth cookie/token removed or invalidated; header shows Login</t>
  </si>
  <si>
    <t xml:space="preserve">TC-US05-02</t>
  </si>
  <si>
    <t xml:space="preserve">Old session token cannot be reused</t>
  </si>
  <si>
    <t xml:space="preserve">1. Copy session cookie/token before logout
2. Log out
3. Replay a request to My Account with old token (Postman/DevTools)</t>
  </si>
  <si>
    <t xml:space="preserve">Captured token</t>
  </si>
  <si>
    <t xml:space="preserve">Server rejects request (401/redirect to login); no account data returned</t>
  </si>
  <si>
    <t xml:space="preserve">TC-US05-03</t>
  </si>
  <si>
    <t xml:space="preserve">Back button after logout does not expose authenticated pages</t>
  </si>
  <si>
    <t xml:space="preserve">Back button after logout</t>
  </si>
  <si>
    <t xml:space="preserve">1. Visit My Orders
2. Log out
3. Press browser Back several times</t>
  </si>
  <si>
    <t xml:space="preserve">Protected pages are not displayed from cache; user redirected to login</t>
  </si>
  <si>
    <t xml:space="preserve">TC-US05-04</t>
  </si>
  <si>
    <t xml:space="preserve">Direct URL to protected pages after logout</t>
  </si>
  <si>
    <t xml:space="preserve">1. Paste /account, /orders, /checkout URLs after logout</t>
  </si>
  <si>
    <t xml:space="preserve">Bookmarked URLs</t>
  </si>
  <si>
    <t xml:space="preserve">Each redirects to login; after login user lands on requested page</t>
  </si>
  <si>
    <t xml:space="preserve">TC-US06-01</t>
  </si>
  <si>
    <t xml:space="preserve">US-06</t>
  </si>
  <si>
    <t xml:space="preserve">Session timeout &amp; re-authentication</t>
  </si>
  <si>
    <t xml:space="preserve">Session times out per defined policy</t>
  </si>
  <si>
    <t xml:space="preserve">Activity within timeout keeps session alive</t>
  </si>
  <si>
    <t xml:space="preserve">Session timeout policy known (e.g. 30 min idle); user logged in with items in cart</t>
  </si>
  <si>
    <t xml:space="preserve">1. Stay idle for (timeout - 2 min)
2. Navigate to My Account</t>
  </si>
  <si>
    <t xml:space="preserve">User still logged in</t>
  </si>
  <si>
    <t xml:space="preserve">TC-US06-02</t>
  </si>
  <si>
    <t xml:space="preserve">Idle beyond timeout expires session</t>
  </si>
  <si>
    <t xml:space="preserve">1. Stay idle beyond timeout
2. Click any authenticated link</t>
  </si>
  <si>
    <t xml:space="preserve">Timeout + 1 min</t>
  </si>
  <si>
    <t xml:space="preserve">Session expired message; redirected to login; after re-login, cart contents retained per policy</t>
  </si>
  <si>
    <t xml:space="preserve">TC-US06-03</t>
  </si>
  <si>
    <t xml:space="preserve">User is prompted to re-authenticate for sensitive actions (checkout, payment info)</t>
  </si>
  <si>
    <t xml:space="preserve">Re-auth prompt before sensitive action</t>
  </si>
  <si>
    <t xml:space="preserve">1. With an aged session open Saved Payments or place order</t>
  </si>
  <si>
    <t xml:space="preserve">Session older than re-auth window</t>
  </si>
  <si>
    <t xml:space="preserve">Password re-entry requested; action proceeds after correct password</t>
  </si>
  <si>
    <t xml:space="preserve">TC-US06-04</t>
  </si>
  <si>
    <t xml:space="preserve">Wrong password on re-auth prompt</t>
  </si>
  <si>
    <t xml:space="preserve">1. Enter wrong password on re-auth prompt</t>
  </si>
  <si>
    <t xml:space="preserve">Wrong@123</t>
  </si>
  <si>
    <t xml:space="preserve">Action blocked; generic error; attempts counted toward lockout</t>
  </si>
  <si>
    <t xml:space="preserve">TC-US07-01</t>
  </si>
  <si>
    <t xml:space="preserve">US-07</t>
  </si>
  <si>
    <t xml:space="preserve">Guest checkout</t>
  </si>
  <si>
    <t xml:space="preserve">Guest can add to cart and complete checkout without registration</t>
  </si>
  <si>
    <t xml:space="preserve">Guest completes checkout</t>
  </si>
  <si>
    <t xml:space="preserve">User not logged in; in-stock product available; payment sandbox active</t>
  </si>
  <si>
    <t xml:space="preserve">1. Add product to cart as guest
2. Proceed to checkout
3. Choose "Checkout as guest"
4. Enter email, address, pay with test card</t>
  </si>
  <si>
    <t xml:space="preserve">guest.&lt;ts&gt;@testmail.com; Card 4111 1111 1111 1111</t>
  </si>
  <si>
    <t xml:space="preserve">Order placed; confirmation page and email received; no account required</t>
  </si>
  <si>
    <t xml:space="preserve">TC-US07-02</t>
  </si>
  <si>
    <t xml:space="preserve">Guest checkout with invalid email / missing contact</t>
  </si>
  <si>
    <t xml:space="preserve">1. Enter invalid email or leave phone blank at guest checkout</t>
  </si>
  <si>
    <t xml:space="preserve">"guest@"; blank phone</t>
  </si>
  <si>
    <t xml:space="preserve">Validation errors; cannot proceed until corrected; cart retained</t>
  </si>
  <si>
    <t xml:space="preserve">TC-US07-03</t>
  </si>
  <si>
    <t xml:space="preserve">Guest is offered an option to create an account post-purchase</t>
  </si>
  <si>
    <t xml:space="preserve">Create account from confirmation page</t>
  </si>
  <si>
    <t xml:space="preserve">1. On confirmation page click Create account
2. Set password</t>
  </si>
  <si>
    <t xml:space="preserve">Qa@12345</t>
  </si>
  <si>
    <t xml:space="preserve">Account created with same email; the guest order appears in Order History</t>
  </si>
  <si>
    <t xml:space="preserve">TC-US07-04</t>
  </si>
  <si>
    <t xml:space="preserve">Decline account creation</t>
  </si>
  <si>
    <t xml:space="preserve">1. Dismiss the create-account offer</t>
  </si>
  <si>
    <t xml:space="preserve">No account created; guest order remains retrievable by lookup; no repeated nagging on refresh</t>
  </si>
  <si>
    <t xml:space="preserve">TC-US07-05</t>
  </si>
  <si>
    <t xml:space="preserve">Guest order is retrievable via order number + email</t>
  </si>
  <si>
    <t xml:space="preserve">Look up guest order</t>
  </si>
  <si>
    <t xml:space="preserve">1. Open Track Order
2. Enter order number and the email used</t>
  </si>
  <si>
    <t xml:space="preserve">Valid order no + email</t>
  </si>
  <si>
    <t xml:space="preserve">Order details and status displayed</t>
  </si>
  <si>
    <t xml:space="preserve">TC-US07-06</t>
  </si>
  <si>
    <t xml:space="preserve">Look up with mismatched details</t>
  </si>
  <si>
    <t xml:space="preserve">1. Enter valid order number with a different email
2. Enter random order number</t>
  </si>
  <si>
    <t xml:space="preserve">other@testmail.com; ORD-000000</t>
  </si>
  <si>
    <t xml:space="preserve">Generic "order not found" message; no data of another customer shown; lookup rate-limited</t>
  </si>
  <si>
    <t xml:space="preserve">TC-US08-01</t>
  </si>
  <si>
    <t xml:space="preserve">M02</t>
  </si>
  <si>
    <t xml:space="preserve">US-08</t>
  </si>
  <si>
    <t xml:space="preserve">Homepage sections</t>
  </si>
  <si>
    <t xml:space="preserve">Homepage loads all key sections (banner, categories, featured/trending products)</t>
  </si>
  <si>
    <t xml:space="preserve">All homepage sections render</t>
  </si>
  <si>
    <t xml:space="preserve">Homepage content configured (banners, categories, featured products)</t>
  </si>
  <si>
    <t xml:space="preserve">1. Open homepage on desktop
2. Scroll full page</t>
  </si>
  <si>
    <t xml:space="preserve">Banner, categories, featured/trending sections visible; no broken images or placeholders; no console errors</t>
  </si>
  <si>
    <t xml:space="preserve">TC-US08-02</t>
  </si>
  <si>
    <t xml:space="preserve">Homepage with slow network / missing section data</t>
  </si>
  <si>
    <t xml:space="preserve">1. Throttle to Slow 3G and reload
2. (If configurable) empty a featured section</t>
  </si>
  <si>
    <t xml:space="preserve">DevTools Slow 3G</t>
  </si>
  <si>
    <t xml:space="preserve">Skeletons/loaders shown; page remains usable; empty section hidden gracefully</t>
  </si>
  <si>
    <t xml:space="preserve">TC-US08-03</t>
  </si>
  <si>
    <t xml:space="preserve">Banner carousel navigation (next/prev/auto-rotate) works correctly</t>
  </si>
  <si>
    <t xml:space="preserve">Carousel next / prev / auto-rotate</t>
  </si>
  <si>
    <t xml:space="preserve">1. Click Next and Prev arrows
2. Click pagination dots
3. Wait for auto-rotate interval</t>
  </si>
  <si>
    <t xml:space="preserve">Slides change in correct order; loops at ends; auto-rotates at configured interval; pauses on hover (if designed)</t>
  </si>
  <si>
    <t xml:space="preserve">TC-US08-04</t>
  </si>
  <si>
    <t xml:space="preserve">Rapid clicking and keyboard use</t>
  </si>
  <si>
    <t xml:space="preserve">1. Click Next 10 times rapidly
2. Tab to carousel controls and use Enter/arrows</t>
  </si>
  <si>
    <t xml:space="preserve">No blank slides, overlap or JS errors; controls operable by keyboard</t>
  </si>
  <si>
    <t xml:space="preserve">TC-US08-05</t>
  </si>
  <si>
    <t xml:space="preserve">All homepage CTAs link to the correct destination pages</t>
  </si>
  <si>
    <t xml:space="preserve">Each CTA reaches correct page</t>
  </si>
  <si>
    <t xml:space="preserve">1. Click every banner CTA, category tile and featured product</t>
  </si>
  <si>
    <t xml:space="preserve">Link inventory sheet</t>
  </si>
  <si>
    <t xml:space="preserve">Each lands on the intended listing/PDP; page title matches</t>
  </si>
  <si>
    <t xml:space="preserve">TC-US08-06</t>
  </si>
  <si>
    <t xml:space="preserve">No broken CTA links</t>
  </si>
  <si>
    <t xml:space="preserve">1. Run link checker over homepage</t>
  </si>
  <si>
    <t xml:space="preserve">No 404/500 responses; no links to staging/placeholder URLs</t>
  </si>
  <si>
    <t xml:space="preserve">TC-US09-01</t>
  </si>
  <si>
    <t xml:space="preserve">US-09</t>
  </si>
  <si>
    <t xml:space="preserve">Main navigation menu</t>
  </si>
  <si>
    <t xml:space="preserve">All top-level and nested category links route to the correct listing pages</t>
  </si>
  <si>
    <t xml:space="preserve">Navigate every category level</t>
  </si>
  <si>
    <t xml:space="preserve">Category tree configured with nested subcategories</t>
  </si>
  <si>
    <t xml:space="preserve">1. Hover/click each top-level menu
2. Click each subcategory</t>
  </si>
  <si>
    <t xml:space="preserve">Women &gt; Dresses &gt; Maxi</t>
  </si>
  <si>
    <t xml:space="preserve">Correct listing opens; heading and breadcrumbs match chosen category; products belong to category</t>
  </si>
  <si>
    <t xml:space="preserve">TC-US09-02</t>
  </si>
  <si>
    <t xml:space="preserve">Direct URL to invalid category</t>
  </si>
  <si>
    <t xml:space="preserve">1. Enter /category/does-not-exist</t>
  </si>
  <si>
    <t xml:space="preserve">Friendly 404 / empty state; navigation still available</t>
  </si>
  <si>
    <t xml:space="preserve">TC-US09-03</t>
  </si>
  <si>
    <t xml:space="preserve">Menu is keyboard-navigable and collapses correctly on mobile</t>
  </si>
  <si>
    <t xml:space="preserve">Keyboard navigation of menu</t>
  </si>
  <si>
    <t xml:space="preserve">1. Tab to menu
2. Use Enter/Space/Arrow keys to open submenus
3. Esc to close</t>
  </si>
  <si>
    <t xml:space="preserve">Keyboard only</t>
  </si>
  <si>
    <t xml:space="preserve">All items reachable; visible focus; submenus open and close predictably</t>
  </si>
  <si>
    <t xml:space="preserve">TC-US09-04</t>
  </si>
  <si>
    <t xml:space="preserve">Mobile hamburger behaviour</t>
  </si>
  <si>
    <t xml:space="preserve">1. On 375px viewport open hamburger
2. Expand/collapse subcategories
3. Rotate device</t>
  </si>
  <si>
    <t xml:space="preserve">iPhone / Android</t>
  </si>
  <si>
    <t xml:space="preserve">Menu opens/closes; no overlap; background scroll locked; closes after selecting a link</t>
  </si>
  <si>
    <t xml:space="preserve">TC-US09-05</t>
  </si>
  <si>
    <t xml:space="preserve">Broken or empty category pages show a friendly empty state, not an error</t>
  </si>
  <si>
    <t xml:space="preserve">Empty category shows friendly state</t>
  </si>
  <si>
    <t xml:space="preserve">1. Open a category with zero products</t>
  </si>
  <si>
    <t xml:space="preserve">Test category "Empty-QA"</t>
  </si>
  <si>
    <t xml:space="preserve">Message "No products found" with suggestions/continue shopping link</t>
  </si>
  <si>
    <t xml:space="preserve">TC-US09-06</t>
  </si>
  <si>
    <t xml:space="preserve">Category API failure</t>
  </si>
  <si>
    <t xml:space="preserve">1. Block category API call in DevTools and reload</t>
  </si>
  <si>
    <t xml:space="preserve">Request blocking</t>
  </si>
  <si>
    <t xml:space="preserve">Friendly error message with retry; no raw error or blank page</t>
  </si>
  <si>
    <t xml:space="preserve">TC-US10-01</t>
  </si>
  <si>
    <t xml:space="preserve">US-10</t>
  </si>
  <si>
    <t xml:space="preserve">Breadcrumb navigation</t>
  </si>
  <si>
    <t xml:space="preserve">Breadcrumbs reflect the current category/product path accurately</t>
  </si>
  <si>
    <t xml:space="preserve">Breadcrumb on listing and PDP</t>
  </si>
  <si>
    <t xml:space="preserve">Products exist at least 3 category levels deep</t>
  </si>
  <si>
    <t xml:space="preserve">1. Navigate Home &gt; Women &gt; Dresses
2. Open a product</t>
  </si>
  <si>
    <t xml:space="preserve">Breadcrumb shows Home &gt; Women &gt; Dresses (&gt; Product name) accurately</t>
  </si>
  <si>
    <t xml:space="preserve">TC-US10-02</t>
  </si>
  <si>
    <t xml:space="preserve">Breadcrumb when PDP opened from search or deep link</t>
  </si>
  <si>
    <t xml:space="preserve">1. Open PDP from search results
2. Open PDP via direct URL</t>
  </si>
  <si>
    <t xml:space="preserve">Breadcrumb shows product's canonical category path; no "undefined" or empty segments</t>
  </si>
  <si>
    <t xml:space="preserve">TC-US10-03</t>
  </si>
  <si>
    <t xml:space="preserve">Each breadcrumb segment is clickable and navigates correctly</t>
  </si>
  <si>
    <t xml:space="preserve">Click each breadcrumb segment</t>
  </si>
  <si>
    <t xml:space="preserve">1. Click each segment from PDP</t>
  </si>
  <si>
    <t xml:space="preserve">Each navigates to correct level; last segment (current page) is not a link</t>
  </si>
  <si>
    <t xml:space="preserve">TC-US10-04</t>
  </si>
  <si>
    <t xml:space="preserve">Breadcrumb retains filters when going back (if designed)</t>
  </si>
  <si>
    <t xml:space="preserve">1. Apply filter on listing
2. Open PDP
3. Click category breadcrumb</t>
  </si>
  <si>
    <t xml:space="preserve">Filter: Size M</t>
  </si>
  <si>
    <t xml:space="preserve">Behaviour matches design (filters retained or cleared); no errors</t>
  </si>
  <si>
    <t xml:space="preserve">TC-US11-01</t>
  </si>
  <si>
    <t xml:space="preserve">US-11</t>
  </si>
  <si>
    <t xml:space="preserve">Footer policy links</t>
  </si>
  <si>
    <t xml:space="preserve">All footer links resolve to the correct, non-broken pages</t>
  </si>
  <si>
    <t xml:space="preserve">Footer links open correct pages</t>
  </si>
  <si>
    <t xml:space="preserve">Footer present on all pages</t>
  </si>
  <si>
    <t xml:space="preserve">1. Click Shipping, Returns, Privacy, Terms, Contact, social links</t>
  </si>
  <si>
    <t xml:space="preserve">Each opens correct page (social links in new tab); HTTP 200</t>
  </si>
  <si>
    <t xml:space="preserve">TC-US11-02</t>
  </si>
  <si>
    <t xml:space="preserve">Footer links from deep pages / link checker</t>
  </si>
  <si>
    <t xml:space="preserve">1. Run link checker from PDP and checkout pages</t>
  </si>
  <si>
    <t xml:space="preserve">No 404s; no mixed-content or http:// links</t>
  </si>
  <si>
    <t xml:space="preserve">TC-US11-03</t>
  </si>
  <si>
    <t xml:space="preserve">Policy content is legible and up to date</t>
  </si>
  <si>
    <t xml:space="preserve">Policy content review</t>
  </si>
  <si>
    <t xml:space="preserve">1. Open each policy page
2. Check headings, dates, contact details</t>
  </si>
  <si>
    <t xml:space="preserve">Content readable, correctly formatted, "last updated" date present and current</t>
  </si>
  <si>
    <t xml:space="preserve">TC-US11-04</t>
  </si>
  <si>
    <t xml:space="preserve">Policy pages on mobile and zoom 200%</t>
  </si>
  <si>
    <t xml:space="preserve">1. Open on 375px viewport
2. Zoom browser to 200%</t>
  </si>
  <si>
    <t xml:space="preserve">Text reflows without horizontal scroll or overlap</t>
  </si>
  <si>
    <t xml:space="preserve">TC-US12-01</t>
  </si>
  <si>
    <t xml:space="preserve">M03</t>
  </si>
  <si>
    <t xml:space="preserve">US-12</t>
  </si>
  <si>
    <t xml:space="preserve">Keyword search</t>
  </si>
  <si>
    <t xml:space="preserve">Search returns relevant results for exact and partial matches</t>
  </si>
  <si>
    <t xml:space="preserve">Exact and partial keyword search</t>
  </si>
  <si>
    <t xml:space="preserve">Catalogue seeded with known products (e.g. "Floral Maxi Dress", "Denim Jacket")</t>
  </si>
  <si>
    <t xml:space="preserve">1. Search "Floral Maxi Dress"
2. Search "maxi"
3. Search "DENIM"</t>
  </si>
  <si>
    <t xml:space="preserve">Known product names</t>
  </si>
  <si>
    <t xml:space="preserve">Exact product ranks at top; partial matches return all relevant products; search is case-insensitive</t>
  </si>
  <si>
    <t xml:space="preserve">TC-US12-02</t>
  </si>
  <si>
    <t xml:space="preserve">Leading/trailing spaces and single character</t>
  </si>
  <si>
    <t xml:space="preserve">1. Search "  maxi  "
2. Search "a"</t>
  </si>
  <si>
    <t xml:space="preserve">Spaces trimmed with same results; single char handled per design (min length message or results)</t>
  </si>
  <si>
    <t xml:space="preserve">TC-US12-03</t>
  </si>
  <si>
    <t xml:space="preserve">Search handles typos/synonyms gracefully (or shows 'did you mean')</t>
  </si>
  <si>
    <t xml:space="preserve">Typo returns suggestion</t>
  </si>
  <si>
    <t xml:space="preserve">1. Search "florl dres" and "jaket"</t>
  </si>
  <si>
    <t xml:space="preserve">Relevant results or "Did you mean floral dress / jacket" shown</t>
  </si>
  <si>
    <t xml:space="preserve">TC-US12-04</t>
  </si>
  <si>
    <t xml:space="preserve">Synonym search</t>
  </si>
  <si>
    <t xml:space="preserve">1. Search "trousers" when catalogue uses "pants"
2. "sneakers" vs "trainers"</t>
  </si>
  <si>
    <t xml:space="preserve">Relevant products returned or helpful suggestion; no error</t>
  </si>
  <si>
    <t xml:space="preserve">TC-US12-05</t>
  </si>
  <si>
    <t xml:space="preserve">Empty/no-result search shows a helpful empty state with suggestions</t>
  </si>
  <si>
    <t xml:space="preserve">No-result state</t>
  </si>
  <si>
    <t xml:space="preserve">1. Search "zzqxv"</t>
  </si>
  <si>
    <t xml:space="preserve">"No results for zzqxv" with suggestions/popular categories; search box retains query</t>
  </si>
  <si>
    <t xml:space="preserve">TC-US12-06</t>
  </si>
  <si>
    <t xml:space="preserve">Empty submit</t>
  </si>
  <si>
    <t xml:space="preserve">1. Click search with empty box / only spaces</t>
  </si>
  <si>
    <t xml:space="preserve">"" / "   "</t>
  </si>
  <si>
    <t xml:space="preserve">No request or friendly prompt; no error page</t>
  </si>
  <si>
    <t xml:space="preserve">TC-US12-07</t>
  </si>
  <si>
    <t xml:space="preserve">Special characters and SQL/script injection in the search box are handled safely</t>
  </si>
  <si>
    <t xml:space="preserve">Special characters handled</t>
  </si>
  <si>
    <t xml:space="preserve">1. Search "T-shirt", "50% off", "Levi's", "café"</t>
  </si>
  <si>
    <t xml:space="preserve">Results or empty state; characters displayed correctly (encoded)</t>
  </si>
  <si>
    <t xml:space="preserve">TC-US12-08</t>
  </si>
  <si>
    <t xml:space="preserve">Injection payloads neutralised</t>
  </si>
  <si>
    <t xml:space="preserve">1. Search &lt;script&gt;alert(1)&lt;/script&gt;
2. ' OR 1=1 --
3. "&gt;&lt;img src=x onerror=alert(1)&gt;</t>
  </si>
  <si>
    <t xml:space="preserve">XSS / SQLi payloads</t>
  </si>
  <si>
    <t xml:space="preserve">No script execution; no SQL error/stack trace; payload shown as escaped text; no data leakage</t>
  </si>
  <si>
    <t xml:space="preserve">TC-US13-01</t>
  </si>
  <si>
    <t xml:space="preserve">US-13</t>
  </si>
  <si>
    <t xml:space="preserve">Autocomplete / type-ahead</t>
  </si>
  <si>
    <t xml:space="preserve">Suggestions appear after a minimal number of characters with acceptable latency</t>
  </si>
  <si>
    <t xml:space="preserve">Suggestions appear at min characters</t>
  </si>
  <si>
    <t xml:space="preserve">Autocomplete enabled</t>
  </si>
  <si>
    <t xml:space="preserve">1. Type "dr" then "dre" slowly
2. Measure time to suggestions (DevTools)</t>
  </si>
  <si>
    <t xml:space="preserve">Suggestions appear at configured min chars (e.g. 2–3) within ~300 ms; relevant to typed text</t>
  </si>
  <si>
    <t xml:space="preserve">TC-US13-02</t>
  </si>
  <si>
    <t xml:space="preserve">Below minimum / fast typing / no match</t>
  </si>
  <si>
    <t xml:space="preserve">1. Type 1 char
2. Type quickly "floraldress"
3. Type "zzq"</t>
  </si>
  <si>
    <t xml:space="preserve">No suggestions below minimum; no flicker or stale results; "no suggestions" handled gracefully</t>
  </si>
  <si>
    <t xml:space="preserve">TC-US13-03</t>
  </si>
  <si>
    <t xml:space="preserve">Clicking a suggestion navigates to the correct product or listing page</t>
  </si>
  <si>
    <t xml:space="preserve">Select suggestion with mouse and keyboard</t>
  </si>
  <si>
    <t xml:space="preserve">1. Click a product suggestion
2. Use Arrow Down + Enter on a category suggestion</t>
  </si>
  <si>
    <t xml:space="preserve">Correct PDP/listing opens</t>
  </si>
  <si>
    <t xml:space="preserve">TC-US13-04</t>
  </si>
  <si>
    <t xml:space="preserve">Press Enter without selecting suggestion</t>
  </si>
  <si>
    <t xml:space="preserve">1. Type "dress" and press Enter</t>
  </si>
  <si>
    <t xml:space="preserve">Full search results page for "dress" (not first suggestion unless designed)</t>
  </si>
  <si>
    <t xml:space="preserve">TC-US14-01</t>
  </si>
  <si>
    <t xml:space="preserve">US-14</t>
  </si>
  <si>
    <t xml:space="preserve">Listing filters</t>
  </si>
  <si>
    <t xml:space="preserve">Each filter correctly narrows the result set (single and combined filters)</t>
  </si>
  <si>
    <t xml:space="preserve">Single and combined filters</t>
  </si>
  <si>
    <t xml:space="preserve">Listing with products spanning multiple sizes, colours, brands and prices</t>
  </si>
  <si>
    <t xml:space="preserve">1. Apply Size M
2. Add Colour Black
3. Add Price 1000–2000
4. Add Brand X</t>
  </si>
  <si>
    <t xml:space="preserve">Filters as listed</t>
  </si>
  <si>
    <t xml:space="preserve">Every product shown satisfies all selected filters; count updates each time</t>
  </si>
  <si>
    <t xml:space="preserve">TC-US14-02</t>
  </si>
  <si>
    <t xml:space="preserve">Contradictory filters / zero results</t>
  </si>
  <si>
    <t xml:space="preserve">1. Combine filters yielding no product
2. Enter min price &gt; max price</t>
  </si>
  <si>
    <t xml:space="preserve">Price 5000–1000</t>
  </si>
  <si>
    <t xml:space="preserve">Friendly "no products match" with Clear filters option; invalid range validated</t>
  </si>
  <si>
    <t xml:space="preserve">TC-US14-03</t>
  </si>
  <si>
    <t xml:space="preserve">Applied filters are visibly listed and individually removable</t>
  </si>
  <si>
    <t xml:space="preserve">Remove individual filter chip</t>
  </si>
  <si>
    <t xml:space="preserve">1. Apply 3 filters
2. Remove one chip</t>
  </si>
  <si>
    <t xml:space="preserve">Chip removed; results expand accordingly; other filters stay applied</t>
  </si>
  <si>
    <t xml:space="preserve">TC-US14-04</t>
  </si>
  <si>
    <t xml:space="preserve">Filters persist on back navigation and URL share</t>
  </si>
  <si>
    <t xml:space="preserve">1. Apply filters
2. Open PDP
3. Press Back
4. Copy URL into new tab</t>
  </si>
  <si>
    <t xml:space="preserve">Filters retained after Back and via shared URL</t>
  </si>
  <si>
    <t xml:space="preserve">TC-US14-05</t>
  </si>
  <si>
    <t xml:space="preserve">'Clear all filters' resets the listing to the unfiltered state</t>
  </si>
  <si>
    <t xml:space="preserve">Clear all</t>
  </si>
  <si>
    <t xml:space="preserve">1. Apply multiple filters
2. Click Clear all</t>
  </si>
  <si>
    <t xml:space="preserve">All chips removed; product count equals unfiltered count</t>
  </si>
  <si>
    <t xml:space="preserve">TC-US14-06</t>
  </si>
  <si>
    <t xml:space="preserve">Clear all with sort applied</t>
  </si>
  <si>
    <t xml:space="preserve">1. Apply sort Price Low-High and filters
2. Clear all</t>
  </si>
  <si>
    <t xml:space="preserve">Filters cleared; sort behaviour per design; no error</t>
  </si>
  <si>
    <t xml:space="preserve">TC-US14-07</t>
  </si>
  <si>
    <t xml:space="preserve">Filter counts (e.g., items per size) match actual results</t>
  </si>
  <si>
    <t xml:space="preserve">Facet count accuracy</t>
  </si>
  <si>
    <t xml:space="preserve">1. Note count next to Size M
2. Apply Size M
3. Count products across pages</t>
  </si>
  <si>
    <t xml:space="preserve">Displayed facet count equals actual number of results</t>
  </si>
  <si>
    <t xml:space="preserve">TC-US14-08</t>
  </si>
  <si>
    <t xml:space="preserve">Counts for out-of-stock variants</t>
  </si>
  <si>
    <t xml:space="preserve">1. Check count for a size with only out-of-stock products</t>
  </si>
  <si>
    <t xml:space="preserve">Counts follow design (exclude or label OOS); no mismatch</t>
  </si>
  <si>
    <t xml:space="preserve">TC-US15-01</t>
  </si>
  <si>
    <t xml:space="preserve">US-15</t>
  </si>
  <si>
    <t xml:space="preserve">Listing sort</t>
  </si>
  <si>
    <t xml:space="preserve">Each sort option reorders results correctly and consistently</t>
  </si>
  <si>
    <t xml:space="preserve">Verify every sort option</t>
  </si>
  <si>
    <t xml:space="preserve">Listing with &gt; 1 page of products with varying price, date, rating</t>
  </si>
  <si>
    <t xml:space="preserve">1. Apply Price Low-High, High-Low, Newest, Popularity, Rating</t>
  </si>
  <si>
    <t xml:space="preserve">Order is correct per option (verify first/last 10 items against data); stable across reloads</t>
  </si>
  <si>
    <t xml:space="preserve">TC-US15-02</t>
  </si>
  <si>
    <t xml:space="preserve">Equal values / discounted prices</t>
  </si>
  <si>
    <t xml:space="preserve">1. Sort by price with items having equal price and sale prices</t>
  </si>
  <si>
    <t xml:space="preserve">Sort uses the displayed (final) price; ties consistent; no mis-ordering</t>
  </si>
  <si>
    <t xml:space="preserve">TC-US15-03</t>
  </si>
  <si>
    <t xml:space="preserve">Sort selection persists across pagination</t>
  </si>
  <si>
    <t xml:space="preserve">Sort persists on next page</t>
  </si>
  <si>
    <t xml:space="preserve">1. Sort Price Low-High
2. Go to page 2 and 3</t>
  </si>
  <si>
    <t xml:space="preserve">Page 2 continues ascending order; sort selector still shows chosen option</t>
  </si>
  <si>
    <t xml:space="preserve">TC-US15-04</t>
  </si>
  <si>
    <t xml:space="preserve">Sort persists after filter change and Back</t>
  </si>
  <si>
    <t xml:space="preserve">1. Sort
2. apply filter
3. Open PDP
4. Back</t>
  </si>
  <si>
    <t xml:space="preserve">Sort retained; no reset to default unexpectedly</t>
  </si>
  <si>
    <t xml:space="preserve">TC-US16-01</t>
  </si>
  <si>
    <t xml:space="preserve">US-16</t>
  </si>
  <si>
    <t xml:space="preserve">Pagination / infinite scroll</t>
  </si>
  <si>
    <t xml:space="preserve">Pagination controls or infinite scroll load the correct next set of products</t>
  </si>
  <si>
    <t xml:space="preserve">Load next page / scroll</t>
  </si>
  <si>
    <t xml:space="preserve">Category with at least 3 pages / 60+ products</t>
  </si>
  <si>
    <t xml:space="preserve">1. Click Next / page 2 or scroll to bottom</t>
  </si>
  <si>
    <t xml:space="preserve">Next set of products loads; loader shown; page indicator updates</t>
  </si>
  <si>
    <t xml:space="preserve">TC-US16-02</t>
  </si>
  <si>
    <t xml:space="preserve">Last page and invalid page number</t>
  </si>
  <si>
    <t xml:space="preserve">1. Go to last page
2. Enter ?page=999 and ?page=-1 in URL</t>
  </si>
  <si>
    <t xml:space="preserve">Next disabled on last page; invalid page shows friendly state or redirects to page 1</t>
  </si>
  <si>
    <t xml:space="preserve">TC-US16-03</t>
  </si>
  <si>
    <t xml:space="preserve">No duplicate or skipped products occur between pages</t>
  </si>
  <si>
    <t xml:space="preserve">Continuity across pages</t>
  </si>
  <si>
    <t xml:space="preserve">1. Record product IDs on pages 1–3</t>
  </si>
  <si>
    <t xml:space="preserve">No duplicates or gaps; total equals catalogue count</t>
  </si>
  <si>
    <t xml:space="preserve">TC-US16-04</t>
  </si>
  <si>
    <t xml:space="preserve">Catalogue change during browsing</t>
  </si>
  <si>
    <t xml:space="preserve">1. While on page 2, add/remove a product via admin
2. go to page 3</t>
  </si>
  <si>
    <t xml:space="preserve">Admin change</t>
  </si>
  <si>
    <t xml:space="preserve">No duplicate or missing items beyond expected shift; no crash</t>
  </si>
  <si>
    <t xml:space="preserve">TC-US16-05</t>
  </si>
  <si>
    <t xml:space="preserve">Page load time remains acceptable as the user scrolls/paginates</t>
  </si>
  <si>
    <t xml:space="preserve">Load time per page</t>
  </si>
  <si>
    <t xml:space="preserve">1. Measure load of pages 1–5 in DevTools</t>
  </si>
  <si>
    <t xml:space="preserve">Each page/segment loads within threshold (e.g. &lt; 2 s)</t>
  </si>
  <si>
    <t xml:space="preserve">TC-US16-06</t>
  </si>
  <si>
    <t xml:space="preserve">Deep infinite scroll memory</t>
  </si>
  <si>
    <t xml:space="preserve">1. Scroll through 200+ products</t>
  </si>
  <si>
    <t xml:space="preserve">No significant slowdown, jank or memory growth; scroll position retained on Back</t>
  </si>
  <si>
    <t xml:space="preserve">TC-US17-01</t>
  </si>
  <si>
    <t xml:space="preserve">US-17</t>
  </si>
  <si>
    <t xml:space="preserve">Grid / list toggle</t>
  </si>
  <si>
    <t xml:space="preserve">Grid/list toggle changes layout without losing filters/sort/scroll position</t>
  </si>
  <si>
    <t xml:space="preserve">Toggle grid/list</t>
  </si>
  <si>
    <t xml:space="preserve">Listing page with filters and sort available</t>
  </si>
  <si>
    <t xml:space="preserve">1. Apply filter and sort
2. Scroll to middle
3. Toggle to List then Grid</t>
  </si>
  <si>
    <t xml:space="preserve">Layout switches; filters, sort and approximate scroll position retained</t>
  </si>
  <si>
    <t xml:space="preserve">TC-US17-02</t>
  </si>
  <si>
    <t xml:space="preserve">Toggle on mobile and persistence</t>
  </si>
  <si>
    <t xml:space="preserve">1. Toggle on 375px viewport
2. Navigate to PDP and back</t>
  </si>
  <si>
    <t xml:space="preserve">Layout usable on mobile; preference retained per design</t>
  </si>
  <si>
    <t xml:space="preserve">TC-US18-01</t>
  </si>
  <si>
    <t xml:space="preserve">M04</t>
  </si>
  <si>
    <t xml:space="preserve">US-18</t>
  </si>
  <si>
    <t xml:space="preserve">Product details</t>
  </si>
  <si>
    <t xml:space="preserve">All product data fields render correctly and match backend data</t>
  </si>
  <si>
    <t xml:space="preserve">PDP data matches backend</t>
  </si>
  <si>
    <t xml:space="preserve">Product with multiple images, description, fabric, price and size chart; backend data sheet available</t>
  </si>
  <si>
    <t xml:space="preserve">1. Open PDP
2. Compare title, price, description, fabric, SKU with data sheet</t>
  </si>
  <si>
    <t xml:space="preserve">Product P-1001</t>
  </si>
  <si>
    <t xml:space="preserve">All fields match exactly; currency formatting correct</t>
  </si>
  <si>
    <t xml:space="preserve">TC-US18-02</t>
  </si>
  <si>
    <t xml:space="preserve">Missing optional data / long text</t>
  </si>
  <si>
    <t xml:space="preserve">1. Open product with no fabric info
2. product with very long name</t>
  </si>
  <si>
    <t xml:space="preserve">P-EDGE-01</t>
  </si>
  <si>
    <t xml:space="preserve">Missing fields hidden gracefully (no "null/undefined"); long text wraps without breaking layout</t>
  </si>
  <si>
    <t xml:space="preserve">TC-US18-03</t>
  </si>
  <si>
    <t xml:space="preserve">Multiple product images/zoom/gallery function correctly</t>
  </si>
  <si>
    <t xml:space="preserve">Gallery navigation</t>
  </si>
  <si>
    <t xml:space="preserve">1. Click thumbnails
2. Use arrows
3. Swipe on mobile</t>
  </si>
  <si>
    <t xml:space="preserve">Main image updates; correct order; no distortion</t>
  </si>
  <si>
    <t xml:space="preserve">TC-US18-04</t>
  </si>
  <si>
    <t xml:space="preserve">Broken image URL</t>
  </si>
  <si>
    <t xml:space="preserve">1. Product with one broken image</t>
  </si>
  <si>
    <t xml:space="preserve">P-EDGE-02</t>
  </si>
  <si>
    <t xml:space="preserve">Placeholder shown; gallery still works</t>
  </si>
  <si>
    <t xml:space="preserve">TC-US18-05</t>
  </si>
  <si>
    <t xml:space="preserve">Size chart/guide is accessible and accurate</t>
  </si>
  <si>
    <t xml:space="preserve">Size chart opens and matches data</t>
  </si>
  <si>
    <t xml:space="preserve">1. Click Size guide</t>
  </si>
  <si>
    <t xml:space="preserve">Modal/page opens; measurements match master size chart; closable via X/Esc</t>
  </si>
  <si>
    <t xml:space="preserve">TC-US18-06</t>
  </si>
  <si>
    <t xml:space="preserve">Size chart on mobile / keyboard</t>
  </si>
  <si>
    <t xml:space="preserve">1. Open on 375px
2. Open via keyboard</t>
  </si>
  <si>
    <t xml:space="preserve">Table scrollable/readable; focus trapped in modal and returned on close</t>
  </si>
  <si>
    <t xml:space="preserve">TC-US19-01</t>
  </si>
  <si>
    <t xml:space="preserve">US-19</t>
  </si>
  <si>
    <t xml:space="preserve">Variant selection</t>
  </si>
  <si>
    <t xml:space="preserve">Selecting a variant updates price, image, and availability correctly</t>
  </si>
  <si>
    <t xml:space="preserve">Variant selection updates PDP</t>
  </si>
  <si>
    <t xml:space="preserve">Product with variants: sizes S–XL and colours with different prices/images; some combinations OOS</t>
  </si>
  <si>
    <t xml:space="preserve">1. Select Colour Red then Size L</t>
  </si>
  <si>
    <t xml:space="preserve">P-1001 Red/L</t>
  </si>
  <si>
    <t xml:space="preserve">Image switches to red; price and stock shown for Red/L; URL/SKU updates</t>
  </si>
  <si>
    <t xml:space="preserve">TC-US19-02</t>
  </si>
  <si>
    <t xml:space="preserve">Add to cart without selecting size</t>
  </si>
  <si>
    <t xml:space="preserve">1. Click Add to Cart without choosing size</t>
  </si>
  <si>
    <t xml:space="preserve">Prompt "Please select a size"; item not added</t>
  </si>
  <si>
    <t xml:space="preserve">TC-US19-03</t>
  </si>
  <si>
    <t xml:space="preserve">Out-of-stock size/color combinations are clearly disabled or labeled</t>
  </si>
  <si>
    <t xml:space="preserve">OOS combination disabled</t>
  </si>
  <si>
    <t xml:space="preserve">1. Select Colour Blue</t>
  </si>
  <si>
    <t xml:space="preserve">Blue/XL OOS</t>
  </si>
  <si>
    <t xml:space="preserve">XL shown disabled/struck-through or labelled "Out of stock"</t>
  </si>
  <si>
    <t xml:space="preserve">TC-US19-04</t>
  </si>
  <si>
    <t xml:space="preserve">Attempt to force OOS variant</t>
  </si>
  <si>
    <t xml:space="preserve">1. Try to click disabled size
2. manipulate variant ID in request</t>
  </si>
  <si>
    <t xml:space="preserve">Cannot add OOS variant; server rejects tampered request</t>
  </si>
  <si>
    <t xml:space="preserve">TC-US19-05</t>
  </si>
  <si>
    <t xml:space="preserve">Selected variant carries correctly into the cart</t>
  </si>
  <si>
    <t xml:space="preserve">Cart shows selected variant</t>
  </si>
  <si>
    <t xml:space="preserve">1. Add Red/L to cart
2. Open cart</t>
  </si>
  <si>
    <t xml:space="preserve">Cart line shows Red, L, correct SKU, image and price</t>
  </si>
  <si>
    <t xml:space="preserve">TC-US19-06</t>
  </si>
  <si>
    <t xml:space="preserve">Change variant after adding</t>
  </si>
  <si>
    <t xml:space="preserve">1. Add Red/L
2. Return to PDP
3. Add Black/M</t>
  </si>
  <si>
    <t xml:space="preserve">Two separate lines (Red/L and Black/M); no overwrite</t>
  </si>
  <si>
    <t xml:space="preserve">TC-US20-01</t>
  </si>
  <si>
    <t xml:space="preserve">US-20</t>
  </si>
  <si>
    <t xml:space="preserve">Stock availability</t>
  </si>
  <si>
    <t xml:space="preserve">'Out of stock' / 'low stock' indicators reflect actual inventory</t>
  </si>
  <si>
    <t xml:space="preserve">Stock indicators match inventory</t>
  </si>
  <si>
    <t xml:space="preserve">Products with in-stock, low-stock (e.g. ≤ 3) and zero stock configured</t>
  </si>
  <si>
    <t xml:space="preserve">1. Open in-stock, low-stock and OOS variants</t>
  </si>
  <si>
    <t xml:space="preserve">Stock 50 / 2 / 0</t>
  </si>
  <si>
    <t xml:space="preserve">Labels "In stock", "Only 2 left", "Out of stock" match admin values</t>
  </si>
  <si>
    <t xml:space="preserve">TC-US20-02</t>
  </si>
  <si>
    <t xml:space="preserve">Stock change reflects on refresh</t>
  </si>
  <si>
    <t xml:space="preserve">1. Reduce stock to 0 in admin while PDP open
2. Refresh</t>
  </si>
  <si>
    <t xml:space="preserve">PDP shows Out of stock after refresh; add to cart blocked</t>
  </si>
  <si>
    <t xml:space="preserve">TC-US20-03</t>
  </si>
  <si>
    <t xml:space="preserve">Add-to-cart is disabled or blocked for unavailable items</t>
  </si>
  <si>
    <t xml:space="preserve">Add to cart disabled for OOS</t>
  </si>
  <si>
    <t xml:space="preserve">1. Select OOS variant</t>
  </si>
  <si>
    <t xml:space="preserve">Add to Cart disabled or replaced by "Notify me"</t>
  </si>
  <si>
    <t xml:space="preserve">TC-US20-04</t>
  </si>
  <si>
    <t xml:space="preserve">Last-unit race condition</t>
  </si>
  <si>
    <t xml:space="preserve">1. Users A and B add the last unit
2. Both proceed to pay</t>
  </si>
  <si>
    <t xml:space="preserve">Stock = 1</t>
  </si>
  <si>
    <t xml:space="preserve">Only one order succeeds; the other gets clear OOS message before payment capture; stock never negative</t>
  </si>
  <si>
    <t xml:space="preserve">TC-US21-01</t>
  </si>
  <si>
    <t xml:space="preserve">US-21</t>
  </si>
  <si>
    <t xml:space="preserve">Ratings &amp; reviews</t>
  </si>
  <si>
    <t xml:space="preserve">Average rating and review count display accurately</t>
  </si>
  <si>
    <t xml:space="preserve">Rating summary correct</t>
  </si>
  <si>
    <t xml:space="preserve">Product with existing reviews; one account with verified purchase and one without</t>
  </si>
  <si>
    <t xml:space="preserve">1. Compare average rating and count with review data</t>
  </si>
  <si>
    <t xml:space="preserve">e.g. 12 reviews avg 4.3</t>
  </si>
  <si>
    <t xml:space="preserve">Displayed average (rounded per rule) and count match data</t>
  </si>
  <si>
    <t xml:space="preserve">TC-US21-02</t>
  </si>
  <si>
    <t xml:space="preserve">Product with zero reviews</t>
  </si>
  <si>
    <t xml:space="preserve">1. Open product without reviews</t>
  </si>
  <si>
    <t xml:space="preserve">"No reviews yet" shown; no NaN or 0-star misleading display</t>
  </si>
  <si>
    <t xml:space="preserve">TC-US21-03</t>
  </si>
  <si>
    <t xml:space="preserve">Reviews list, sort, and pagination function correctly</t>
  </si>
  <si>
    <t xml:space="preserve">Sort and paginate reviews</t>
  </si>
  <si>
    <t xml:space="preserve">1. Sort Newest, Highest, Lowest
2. Go to next page</t>
  </si>
  <si>
    <t xml:space="preserve">Order correct; pagination loads next reviews without duplicates</t>
  </si>
  <si>
    <t xml:space="preserve">TC-US21-04</t>
  </si>
  <si>
    <t xml:space="preserve">Review with long text / special chars</t>
  </si>
  <si>
    <t xml:space="preserve">1. View review with 2000 chars, emoji and HTML-like text</t>
  </si>
  <si>
    <t xml:space="preserve">Text wraps/truncates with "Read more"; HTML is escaped</t>
  </si>
  <si>
    <t xml:space="preserve">TC-US21-05</t>
  </si>
  <si>
    <t xml:space="preserve">Review submission requires a verified purchase or account, per policy</t>
  </si>
  <si>
    <t xml:space="preserve">Verified buyer submits review</t>
  </si>
  <si>
    <t xml:space="preserve">1. Log in as verified buyer
2. Submit rating + text</t>
  </si>
  <si>
    <t xml:space="preserve">5 stars, "Great fit"</t>
  </si>
  <si>
    <t xml:space="preserve">Review submitted (published or pending moderation per policy)</t>
  </si>
  <si>
    <t xml:space="preserve">TC-US21-06</t>
  </si>
  <si>
    <t xml:space="preserve">Guest / non-buyer / script injection</t>
  </si>
  <si>
    <t xml:space="preserve">1. Try review as guest
2. as non-buyer
3. Submit review text with &lt;script&gt;</t>
  </si>
  <si>
    <t xml:space="preserve">XSS payload</t>
  </si>
  <si>
    <t xml:space="preserve">Blocked per policy with message; payload sanitised; no script execution</t>
  </si>
  <si>
    <t xml:space="preserve">TC-US22-01</t>
  </si>
  <si>
    <t xml:space="preserve">US-22</t>
  </si>
  <si>
    <t xml:space="preserve">Recommended products</t>
  </si>
  <si>
    <t xml:space="preserve">Recommended products are relevant and link to correct PDPs</t>
  </si>
  <si>
    <t xml:space="preserve">Recommendations are relevant</t>
  </si>
  <si>
    <t xml:space="preserve">Product with related products configured; another product with none</t>
  </si>
  <si>
    <t xml:space="preserve">1. Open PDP
2. Inspect recommended module
3. Click an item</t>
  </si>
  <si>
    <t xml:space="preserve">Items relevant (same/complementary category); link opens correct PDP; current product not recommended to itself</t>
  </si>
  <si>
    <t xml:space="preserve">TC-US22-02</t>
  </si>
  <si>
    <t xml:space="preserve">Recommended OOS items</t>
  </si>
  <si>
    <t xml:space="preserve">1. Check module when related items are out of stock</t>
  </si>
  <si>
    <t xml:space="preserve">OOS items hidden or labelled consistently</t>
  </si>
  <si>
    <t xml:space="preserve">TC-US22-03</t>
  </si>
  <si>
    <t xml:space="preserve">Recommendation module doesn't break layout when empty</t>
  </si>
  <si>
    <t xml:space="preserve">Layout with few items</t>
  </si>
  <si>
    <t xml:space="preserve">1. PDP with 1–2 recommendations</t>
  </si>
  <si>
    <t xml:space="preserve">Module renders cleanly without gaps</t>
  </si>
  <si>
    <t xml:space="preserve">TC-US22-04</t>
  </si>
  <si>
    <t xml:space="preserve">Layout with zero items</t>
  </si>
  <si>
    <t xml:space="preserve">1. PDP with no recommendations</t>
  </si>
  <si>
    <t xml:space="preserve">Module hidden; no empty heading or broken spacing</t>
  </si>
  <si>
    <t xml:space="preserve">TC-US23-01</t>
  </si>
  <si>
    <t xml:space="preserve">US-23</t>
  </si>
  <si>
    <t xml:space="preserve">Image zoom / multi-angle</t>
  </si>
  <si>
    <t xml:space="preserve">Zoom works on desktop (hover/click) and mobile (pinch/tap)</t>
  </si>
  <si>
    <t xml:space="preserve">Desktop and mobile zoom</t>
  </si>
  <si>
    <t xml:space="preserve">Product with multiple angle images (and 360° if supported)</t>
  </si>
  <si>
    <t xml:space="preserve">1. Hover/click main image on desktop
2. Pinch/double-tap on mobile</t>
  </si>
  <si>
    <t xml:space="preserve">Zoom shows higher-resolution detail; exit zoom works</t>
  </si>
  <si>
    <t xml:space="preserve">TC-US23-02</t>
  </si>
  <si>
    <t xml:space="preserve">Zoom on low-resolution image</t>
  </si>
  <si>
    <t xml:space="preserve">1. Zoom on product with small image</t>
  </si>
  <si>
    <t xml:space="preserve">No pixelated overscale beyond native resolution or graceful message; no layout break</t>
  </si>
  <si>
    <t xml:space="preserve">TC-US23-03</t>
  </si>
  <si>
    <t xml:space="preserve">All product angle images load without distortion or broken links</t>
  </si>
  <si>
    <t xml:space="preserve">All angle images load</t>
  </si>
  <si>
    <t xml:space="preserve">1. Cycle through all angles / 360 view</t>
  </si>
  <si>
    <t xml:space="preserve">All images load with correct aspect ratio</t>
  </si>
  <si>
    <t xml:space="preserve">TC-US23-04</t>
  </si>
  <si>
    <t xml:space="preserve">Slow network image loading</t>
  </si>
  <si>
    <t xml:space="preserve">1. Throttle to Slow 3G</t>
  </si>
  <si>
    <t xml:space="preserve">Placeholders/lazy-loading shown; no layout shift breaking page</t>
  </si>
  <si>
    <t xml:space="preserve">TC-US24-01</t>
  </si>
  <si>
    <t xml:space="preserve">US-24</t>
  </si>
  <si>
    <t xml:space="preserve">Add to wishlist</t>
  </si>
  <si>
    <t xml:space="preserve">Wishlist icon toggles correctly (added/removed) with visual feedback</t>
  </si>
  <si>
    <t xml:space="preserve">Add and remove from wishlist</t>
  </si>
  <si>
    <t xml:space="preserve">Wishlist feature enabled; user logged in (and guest session for negative)</t>
  </si>
  <si>
    <t xml:space="preserve">1. Click heart on listing
2. Click again on PDP</t>
  </si>
  <si>
    <t xml:space="preserve">Heart fills with toast "Added"; second click removes; wishlist count updates</t>
  </si>
  <si>
    <t xml:space="preserve">TC-US24-02</t>
  </si>
  <si>
    <t xml:space="preserve">Rapid toggling</t>
  </si>
  <si>
    <t xml:space="preserve">1. Click heart 6 times quickly</t>
  </si>
  <si>
    <t xml:space="preserve">Final state consistent with last click; no duplicate entries</t>
  </si>
  <si>
    <t xml:space="preserve">TC-US24-03</t>
  </si>
  <si>
    <t xml:space="preserve">Wishlist action requires login or persists for guest session, per design</t>
  </si>
  <si>
    <t xml:space="preserve">Logged-in wishlist persists</t>
  </si>
  <si>
    <t xml:space="preserve">1. Add item
2. Log out
3. Log in on another browser</t>
  </si>
  <si>
    <t xml:space="preserve">Item present in wishlist</t>
  </si>
  <si>
    <t xml:space="preserve">TC-US24-04</t>
  </si>
  <si>
    <t xml:space="preserve">Guest clicks wishlist</t>
  </si>
  <si>
    <t xml:space="preserve">1. As guest click heart</t>
  </si>
  <si>
    <t xml:space="preserve">Prompt to log in (item added after login) or saved to guest session per design; no error</t>
  </si>
  <si>
    <t xml:space="preserve">TC-US25-01</t>
  </si>
  <si>
    <t xml:space="preserve">M05</t>
  </si>
  <si>
    <t xml:space="preserve">US-25</t>
  </si>
  <si>
    <t xml:space="preserve">Add to cart</t>
  </si>
  <si>
    <t xml:space="preserve">Add-to-cart updates cart icon/count immediately</t>
  </si>
  <si>
    <t xml:space="preserve">Cart count updates</t>
  </si>
  <si>
    <t xml:space="preserve">In-stock product with variants; cart empty</t>
  </si>
  <si>
    <t xml:space="preserve">1. Select variant
2. Click Add to Cart</t>
  </si>
  <si>
    <t xml:space="preserve">Qty 1</t>
  </si>
  <si>
    <t xml:space="preserve">Mini-cart/toast shown; header count increments to 1 immediately without reload</t>
  </si>
  <si>
    <t xml:space="preserve">TC-US25-02</t>
  </si>
  <si>
    <t xml:space="preserve">Double-click Add to Cart</t>
  </si>
  <si>
    <t xml:space="preserve">1. Double-click Add to Cart rapidly</t>
  </si>
  <si>
    <t xml:space="preserve">Quantity reflects intended action (1 or 2 per design) without duplicate lines or errors</t>
  </si>
  <si>
    <t xml:space="preserve">TC-US25-03</t>
  </si>
  <si>
    <t xml:space="preserve">Correct product, variant, price and quantity are reflected in the cart</t>
  </si>
  <si>
    <t xml:space="preserve">Cart line accuracy</t>
  </si>
  <si>
    <t xml:space="preserve">1. Add Red/L qty 2
2. Open cart</t>
  </si>
  <si>
    <t xml:space="preserve">Price 1499</t>
  </si>
  <si>
    <t xml:space="preserve">Line shows name, Red, L, 2, unit 1499 and line total 2998</t>
  </si>
  <si>
    <t xml:space="preserve">TC-US25-04</t>
  </si>
  <si>
    <t xml:space="preserve">Price change after adding</t>
  </si>
  <si>
    <t xml:space="preserve">1. Change price in admin after item is in cart
2. Refresh cart / proceed to checkout</t>
  </si>
  <si>
    <t xml:space="preserve">New price 1599</t>
  </si>
  <si>
    <t xml:space="preserve">Cart updates to current price with notice, or price honoured per policy; never charges a price not displayed</t>
  </si>
  <si>
    <t xml:space="preserve">TC-US25-05</t>
  </si>
  <si>
    <t xml:space="preserve">Adding an already-in-cart item increments quantity rather than duplicating the line</t>
  </si>
  <si>
    <t xml:space="preserve">Same variant increments</t>
  </si>
  <si>
    <t xml:space="preserve">1. Add Red/L
2. Add Red/L again</t>
  </si>
  <si>
    <t xml:space="preserve">Single line with quantity 2</t>
  </si>
  <si>
    <t xml:space="preserve">TC-US25-06</t>
  </si>
  <si>
    <t xml:space="preserve">Same product different variant</t>
  </si>
  <si>
    <t xml:space="preserve">1. Add Red/L then Red/M</t>
  </si>
  <si>
    <t xml:space="preserve">Two separate lines</t>
  </si>
  <si>
    <t xml:space="preserve">TC-US26-01</t>
  </si>
  <si>
    <t xml:space="preserve">US-26</t>
  </si>
  <si>
    <t xml:space="preserve">Update cart quantity</t>
  </si>
  <si>
    <t xml:space="preserve">Quantity increase/decrease updates line total and cart total instantly</t>
  </si>
  <si>
    <t xml:space="preserve">Change quantity</t>
  </si>
  <si>
    <t xml:space="preserve">Cart contains an item with stock = 5</t>
  </si>
  <si>
    <t xml:space="preserve">1. Increase qty 1→3
2. Decrease 3→2</t>
  </si>
  <si>
    <t xml:space="preserve">Unit 1000</t>
  </si>
  <si>
    <t xml:space="preserve">Line total and cart total update instantly (3000, then 2000)</t>
  </si>
  <si>
    <t xml:space="preserve">TC-US26-02</t>
  </si>
  <si>
    <t xml:space="preserve">Manual quantity input invalid</t>
  </si>
  <si>
    <t xml:space="preserve">1. Type 0, -1, 2.5, "abc", blank into qty field</t>
  </si>
  <si>
    <t xml:space="preserve">Invalid values rejected/reset to last valid value with message</t>
  </si>
  <si>
    <t xml:space="preserve">TC-US26-03</t>
  </si>
  <si>
    <t xml:space="preserve">Quantity cannot exceed available stock</t>
  </si>
  <si>
    <t xml:space="preserve">Quantity at stock limit</t>
  </si>
  <si>
    <t xml:space="preserve">1. Set qty to 5</t>
  </si>
  <si>
    <t xml:space="preserve">Stock 5</t>
  </si>
  <si>
    <t xml:space="preserve">Accepted</t>
  </si>
  <si>
    <t xml:space="preserve">TC-US26-04</t>
  </si>
  <si>
    <t xml:space="preserve">Quantity above stock</t>
  </si>
  <si>
    <t xml:space="preserve">1. Set qty to 6 or click + at 5</t>
  </si>
  <si>
    <t xml:space="preserve">Blocked with message "Only 5 available"; qty stays 5</t>
  </si>
  <si>
    <t xml:space="preserve">TC-US26-05</t>
  </si>
  <si>
    <t xml:space="preserve">Quantity cannot go below 1 (must use remove instead)</t>
  </si>
  <si>
    <t xml:space="preserve">Minus disabled at 1</t>
  </si>
  <si>
    <t xml:space="preserve">1. Set qty to 1
2. Observe minus button</t>
  </si>
  <si>
    <t xml:space="preserve">Minus disabled at 1; item remains</t>
  </si>
  <si>
    <t xml:space="preserve">TC-US26-06</t>
  </si>
  <si>
    <t xml:space="preserve">Attempt qty 0 via input/API</t>
  </si>
  <si>
    <t xml:space="preserve">1. Type 0 or send qty=0 in request</t>
  </si>
  <si>
    <t xml:space="preserve">Rejected or treated as remove per design with confirmation; no zero-qty line</t>
  </si>
  <si>
    <t xml:space="preserve">TC-US27-01</t>
  </si>
  <si>
    <t xml:space="preserve">US-27</t>
  </si>
  <si>
    <t xml:space="preserve">Remove from cart</t>
  </si>
  <si>
    <t xml:space="preserve">Removing an item updates cart total and item count immediately</t>
  </si>
  <si>
    <t xml:space="preserve">Remove one item</t>
  </si>
  <si>
    <t xml:space="preserve">Cart contains 2 different items</t>
  </si>
  <si>
    <t xml:space="preserve">1. Click Remove on item 1</t>
  </si>
  <si>
    <t xml:space="preserve">Line removed; totals and header count update instantly; optional undo works</t>
  </si>
  <si>
    <t xml:space="preserve">TC-US27-02</t>
  </si>
  <si>
    <t xml:space="preserve">Remove item then refresh / other tab</t>
  </si>
  <si>
    <t xml:space="preserve">1. Remove item
2. Refresh
3. Check cart in second tab</t>
  </si>
  <si>
    <t xml:space="preserve">Item stays removed in both tabs</t>
  </si>
  <si>
    <t xml:space="preserve">TC-US27-03</t>
  </si>
  <si>
    <t xml:space="preserve">Removing the last item shows an accurate 'empty cart' state</t>
  </si>
  <si>
    <t xml:space="preserve">Empty cart state</t>
  </si>
  <si>
    <t xml:space="preserve">1. Remove all items</t>
  </si>
  <si>
    <t xml:space="preserve">"Your cart is empty" with Continue shopping; totals hidden; count 0</t>
  </si>
  <si>
    <t xml:space="preserve">TC-US27-04</t>
  </si>
  <si>
    <t xml:space="preserve">Checkout from empty cart</t>
  </si>
  <si>
    <t xml:space="preserve">1. Navigate to /checkout with empty cart</t>
  </si>
  <si>
    <t xml:space="preserve">Redirected to cart/empty state; checkout not possible</t>
  </si>
  <si>
    <t xml:space="preserve">TC-US28-01</t>
  </si>
  <si>
    <t xml:space="preserve">US-28</t>
  </si>
  <si>
    <t xml:space="preserve">Cart persistence</t>
  </si>
  <si>
    <t xml:space="preserve">Cart contents persist after logout/login for registered users</t>
  </si>
  <si>
    <t xml:space="preserve">Cart persists across login and devices</t>
  </si>
  <si>
    <t xml:space="preserve">Registered user; cart persistence policy known</t>
  </si>
  <si>
    <t xml:space="preserve">1. Add 2 items
2. Log out
3. Log in on another browser</t>
  </si>
  <si>
    <t xml:space="preserve">Same 2 items with same variants and quantities</t>
  </si>
  <si>
    <t xml:space="preserve">TC-US28-02</t>
  </si>
  <si>
    <t xml:space="preserve">Guest cart merge on login</t>
  </si>
  <si>
    <t xml:space="preserve">1. As guest add item A
2. Log in to account that has item B</t>
  </si>
  <si>
    <t xml:space="preserve">Cart contains A and B (merged) per design; no duplicates or losses</t>
  </si>
  <si>
    <t xml:space="preserve">TC-US28-03</t>
  </si>
  <si>
    <t xml:space="preserve">Cart persists after browser refresh/close-reopen within session policy</t>
  </si>
  <si>
    <t xml:space="preserve">Refresh and reopen</t>
  </si>
  <si>
    <t xml:space="preserve">1. Add items
2. Refresh
3. Close browser and reopen within policy</t>
  </si>
  <si>
    <t xml:space="preserve">Cart contents unchanged</t>
  </si>
  <si>
    <t xml:space="preserve">TC-US28-04</t>
  </si>
  <si>
    <t xml:space="preserve">After cart expiry period</t>
  </si>
  <si>
    <t xml:space="preserve">1. Reopen after cart expiry period (or clear storage)</t>
  </si>
  <si>
    <t xml:space="preserve">Cart emptied per policy with no errors; stale OOS items flagged</t>
  </si>
  <si>
    <t xml:space="preserve">TC-US29-01</t>
  </si>
  <si>
    <t xml:space="preserve">US-29</t>
  </si>
  <si>
    <t xml:space="preserve">Order summary calculations</t>
  </si>
  <si>
    <t xml:space="preserve">All calculations (tax, shipping, discounts) are mathematically correct</t>
  </si>
  <si>
    <t xml:space="preserve">Totals match oracle for 5 cart combinations</t>
  </si>
  <si>
    <t xml:space="preserve">Tax rules, shipping rates and discount rules known; oracle spreadsheet ready</t>
  </si>
  <si>
    <t xml:space="preserve">1. Build carts: single item
2. multi-item
3. with coupon
4. above free-shipping threshold
5. mixed tax categories
6. Compare summary with oracle</t>
  </si>
  <si>
    <t xml:space="preserve">5 oracle carts</t>
  </si>
  <si>
    <t xml:space="preserve">Subtotal, tax, shipping, discount and grand total match oracle to the paisa/cent; rounding rule applied consistently</t>
  </si>
  <si>
    <t xml:space="preserve">TC-US29-02</t>
  </si>
  <si>
    <t xml:space="preserve">Boundary values</t>
  </si>
  <si>
    <t xml:space="preserve">1. Cart at free-shipping threshold -1, exact, +1
2. 100% discount
3. high-quantity large totals</t>
  </si>
  <si>
    <t xml:space="preserve">e.g. threshold 999</t>
  </si>
  <si>
    <t xml:space="preserve">Shipping applied/waived correctly at boundaries; totals never negative; no floating-point artefacts</t>
  </si>
  <si>
    <t xml:space="preserve">TC-US29-03</t>
  </si>
  <si>
    <t xml:space="preserve">Summary updates in real time as cart contents change</t>
  </si>
  <si>
    <t xml:space="preserve">Summary refresh on change</t>
  </si>
  <si>
    <t xml:space="preserve">1. Change qty, remove item, apply coupon</t>
  </si>
  <si>
    <t xml:space="preserve">Summary recalculates immediately without reload</t>
  </si>
  <si>
    <t xml:space="preserve">TC-US29-04</t>
  </si>
  <si>
    <t xml:space="preserve">Rapid successive changes</t>
  </si>
  <si>
    <t xml:space="preserve">1. Click + five times quickly</t>
  </si>
  <si>
    <t xml:space="preserve">Final summary is consistent with final quantity; no stale values</t>
  </si>
  <si>
    <t xml:space="preserve">TC-US30-01</t>
  </si>
  <si>
    <t xml:space="preserve">US-30</t>
  </si>
  <si>
    <t xml:space="preserve">Promo / coupon codes</t>
  </si>
  <si>
    <t xml:space="preserve">Valid codes apply the correct discount and update the total</t>
  </si>
  <si>
    <t xml:space="preserve">Apply valid percentage and flat coupons</t>
  </si>
  <si>
    <t xml:space="preserve">Coupons configured: SAVE10 (10%), FLAT200 (min 1500), EXPIRED20, WOMEN15 (category), ONCE50 (one per user)</t>
  </si>
  <si>
    <t xml:space="preserve">1. Apply SAVE10 on 2000 cart
2. Replace with FLAT200 on 1600 cart</t>
  </si>
  <si>
    <t xml:space="preserve">Discount 200 / 200 shown; total updated; coupon removable</t>
  </si>
  <si>
    <t xml:space="preserve">TC-US30-02</t>
  </si>
  <si>
    <t xml:space="preserve">Case / whitespace in code</t>
  </si>
  <si>
    <t xml:space="preserve">1. Enter " save10 "</t>
  </si>
  <si>
    <t xml:space="preserve">Applied (normalised) or clear message per design</t>
  </si>
  <si>
    <t xml:space="preserve">TC-US30-03</t>
  </si>
  <si>
    <t xml:space="preserve">Invalid/expired codes show a clear error and do not apply</t>
  </si>
  <si>
    <t xml:space="preserve">Remove applied coupon</t>
  </si>
  <si>
    <t xml:space="preserve">1. Apply SAVE10
2. Remove</t>
  </si>
  <si>
    <t xml:space="preserve">Discount removed; total restored</t>
  </si>
  <si>
    <t xml:space="preserve">TC-US30-04</t>
  </si>
  <si>
    <t xml:space="preserve">Invalid and expired codes</t>
  </si>
  <si>
    <t xml:space="preserve">1. Apply "ABC123", EXPIRED20, injection string</t>
  </si>
  <si>
    <t xml:space="preserve">Clear "invalid/expired" message; total unchanged; no stack trace</t>
  </si>
  <si>
    <t xml:space="preserve">TC-US30-05</t>
  </si>
  <si>
    <t xml:space="preserve">Code restrictions (min order value, category, one-per-user) are enforced</t>
  </si>
  <si>
    <t xml:space="preserve">Restrictions satisfied</t>
  </si>
  <si>
    <t xml:space="preserve">1. FLAT200 on cart 1500
2. WOMEN15 on women's item</t>
  </si>
  <si>
    <t xml:space="preserve">Applied correctly</t>
  </si>
  <si>
    <t xml:space="preserve">TC-US30-06</t>
  </si>
  <si>
    <t xml:space="preserve">Restrictions violated</t>
  </si>
  <si>
    <t xml:space="preserve">1. FLAT200 on 1499
2. WOMEN15 on men's only cart
3. ONCE50 second use
4. Remove items after applying FLAT200 to drop below 1500</t>
  </si>
  <si>
    <t xml:space="preserve">Coupon rejected or auto-removed with reason; total correct</t>
  </si>
  <si>
    <t xml:space="preserve">TC-US31-01</t>
  </si>
  <si>
    <t xml:space="preserve">US-31</t>
  </si>
  <si>
    <t xml:space="preserve">Delivery estimate in cart</t>
  </si>
  <si>
    <t xml:space="preserve">Estimated shipping cost/date is calculated correctly based on location/method</t>
  </si>
  <si>
    <t xml:space="preserve">Estimate for serviceable pincode</t>
  </si>
  <si>
    <t xml:space="preserve">Shipping rules by pincode/method configured</t>
  </si>
  <si>
    <t xml:space="preserve">1. Enter serviceable pincode
2. Select Standard and Express</t>
  </si>
  <si>
    <t xml:space="preserve">500081</t>
  </si>
  <si>
    <t xml:space="preserve">Cost and date shown per rule for each method</t>
  </si>
  <si>
    <t xml:space="preserve">TC-US31-02</t>
  </si>
  <si>
    <t xml:space="preserve">Invalid / non-serviceable pincode</t>
  </si>
  <si>
    <t xml:space="preserve">1. Enter 12345, 000000, non-serviceable pincode</t>
  </si>
  <si>
    <t xml:space="preserve">Clear validation or "not deliverable" message; checkout not blocked unexpectedly</t>
  </si>
  <si>
    <t xml:space="preserve">TC-US32-01</t>
  </si>
  <si>
    <t xml:space="preserve">M06</t>
  </si>
  <si>
    <t xml:space="preserve">US-32</t>
  </si>
  <si>
    <t xml:space="preserve">Shipping address</t>
  </si>
  <si>
    <t xml:space="preserve">Address form validates required fields and formats (postal code, phone)</t>
  </si>
  <si>
    <t xml:space="preserve">Valid new address accepted</t>
  </si>
  <si>
    <t xml:space="preserve">Logged-in user with 1 saved address; cart has items; at checkout Address step</t>
  </si>
  <si>
    <t xml:space="preserve">1. Add new address with all mandatory fields</t>
  </si>
  <si>
    <t xml:space="preserve">Name, 10-digit mobile 9876543210, PIN 500081, line 1, city, state</t>
  </si>
  <si>
    <t xml:space="preserve">Address saved and selected; proceed to next step enabled</t>
  </si>
  <si>
    <t xml:space="preserve">TC-US32-02</t>
  </si>
  <si>
    <t xml:space="preserve">Invalid formats and blanks</t>
  </si>
  <si>
    <t xml:space="preserve">1. Leave mandatory fields blank
2. Enter PIN 5000, ABCDEF
3. phone 12345, +91-abc</t>
  </si>
  <si>
    <t xml:space="preserve">Field-level errors; cannot proceed; valid entries retained</t>
  </si>
  <si>
    <t xml:space="preserve">TC-US32-03</t>
  </si>
  <si>
    <t xml:space="preserve">Saved addresses can be selected, edited, or a new one added</t>
  </si>
  <si>
    <t xml:space="preserve">Select and edit saved address</t>
  </si>
  <si>
    <t xml:space="preserve">1. Select saved address
2. Edit house number
3. Save</t>
  </si>
  <si>
    <t xml:space="preserve">Edited address used for order; reflected in address book</t>
  </si>
  <si>
    <t xml:space="preserve">TC-US32-04</t>
  </si>
  <si>
    <t xml:space="preserve">Delete address in use / cancel edit</t>
  </si>
  <si>
    <t xml:space="preserve">1. Cancel mid-edit
2. Try deleting the selected address</t>
  </si>
  <si>
    <t xml:space="preserve">Cancel leaves address unchanged; deletion handled with confirmation and re-selection prompt</t>
  </si>
  <si>
    <t xml:space="preserve">TC-US32-05</t>
  </si>
  <si>
    <t xml:space="preserve">Address validation catches undeliverable/incomplete addresses</t>
  </si>
  <si>
    <t xml:space="preserve">Serviceable address passes validation</t>
  </si>
  <si>
    <t xml:space="preserve">1. Enter complete serviceable address</t>
  </si>
  <si>
    <t xml:space="preserve">PIN 500081</t>
  </si>
  <si>
    <t xml:space="preserve">Accepted; delivery estimate displayed</t>
  </si>
  <si>
    <t xml:space="preserve">TC-US32-06</t>
  </si>
  <si>
    <t xml:space="preserve">Undeliverable / mismatched address</t>
  </si>
  <si>
    <t xml:space="preserve">1. PIN not serviced
2. City/State inconsistent with PIN
3. only spaces in address line</t>
  </si>
  <si>
    <t xml:space="preserve">PIN 999999</t>
  </si>
  <si>
    <t xml:space="preserve">Clear "not deliverable / incomplete" message; order cannot be placed to that address</t>
  </si>
  <si>
    <t xml:space="preserve">TC-US33-01</t>
  </si>
  <si>
    <t xml:space="preserve">US-33</t>
  </si>
  <si>
    <t xml:space="preserve">Shipping method</t>
  </si>
  <si>
    <t xml:space="preserve">Each shipping method updates cost and estimated delivery date correctly</t>
  </si>
  <si>
    <t xml:space="preserve">Switch shipping methods</t>
  </si>
  <si>
    <t xml:space="preserve">Multiple shipping methods configured (Standard, Express); region restrictions defined</t>
  </si>
  <si>
    <t xml:space="preserve">1. Select Standard
2. Select Express</t>
  </si>
  <si>
    <t xml:space="preserve">Shipping cost and ETA update per rule; order total recalculated</t>
  </si>
  <si>
    <t xml:space="preserve">TC-US33-02</t>
  </si>
  <si>
    <t xml:space="preserve">Free-shipping interaction</t>
  </si>
  <si>
    <t xml:space="preserve">1. Cart above free-shipping threshold with Express</t>
  </si>
  <si>
    <t xml:space="preserve">Standard free; Express charged per rule; totals correct</t>
  </si>
  <si>
    <t xml:space="preserve">TC-US33-03</t>
  </si>
  <si>
    <t xml:space="preserve">Unavailable methods for certain regions/items are hidden or disabled</t>
  </si>
  <si>
    <t xml:space="preserve">Region with all methods</t>
  </si>
  <si>
    <t xml:space="preserve">1. Use metro PIN</t>
  </si>
  <si>
    <t xml:space="preserve">All methods available</t>
  </si>
  <si>
    <t xml:space="preserve">TC-US33-04</t>
  </si>
  <si>
    <t xml:space="preserve">Restricted region / item</t>
  </si>
  <si>
    <t xml:space="preserve">1. Use remote PIN
2. add oversized/restricted item</t>
  </si>
  <si>
    <t xml:space="preserve">Remote PIN</t>
  </si>
  <si>
    <t xml:space="preserve">Unavailable method hidden/disabled with reason; cannot be forced via request tampering</t>
  </si>
  <si>
    <t xml:space="preserve">TC-US34-01</t>
  </si>
  <si>
    <t xml:space="preserve">US-34</t>
  </si>
  <si>
    <t xml:space="preserve">Payment methods</t>
  </si>
  <si>
    <t xml:space="preserve">Each supported payment method processes successfully in a test environment</t>
  </si>
  <si>
    <t xml:space="preserve">Pay successfully with each method</t>
  </si>
  <si>
    <t xml:space="preserve">Payment gateway sandbox; test card, UPI, wallet credentials; COD enabled for eligible orders</t>
  </si>
  <si>
    <t xml:space="preserve">1. Pay with test Visa/Mastercard
2. UPI (success VPA)
3. Wallet
4. COD</t>
  </si>
  <si>
    <t xml:space="preserve">4111 1111 1111 1111, 12/30, CVV 123; success@upi</t>
  </si>
  <si>
    <t xml:space="preserve">Payment success for each; order placed; payment method recorded on order</t>
  </si>
  <si>
    <t xml:space="preserve">TC-US34-02</t>
  </si>
  <si>
    <t xml:space="preserve">COD beyond limits / ineligible</t>
  </si>
  <si>
    <t xml:space="preserve">1. Select COD for order above COD limit or non-COD PIN</t>
  </si>
  <si>
    <t xml:space="preserve">COD disabled with reason</t>
  </si>
  <si>
    <t xml:space="preserve">TC-US34-03</t>
  </si>
  <si>
    <t xml:space="preserve">Card number, expiry, and CVV fields validate format and reject invalid input</t>
  </si>
  <si>
    <t xml:space="preserve">Valid card format accepted</t>
  </si>
  <si>
    <t xml:space="preserve">1. Enter valid card
2. observe brand detection and masking</t>
  </si>
  <si>
    <t xml:space="preserve">5555 5555 5555 4444</t>
  </si>
  <si>
    <t xml:space="preserve">Card brand detected; field accepts; proceeds</t>
  </si>
  <si>
    <t xml:space="preserve">TC-US34-04</t>
  </si>
  <si>
    <t xml:space="preserve">Invalid card data rejected</t>
  </si>
  <si>
    <t xml:space="preserve">1. Luhn-invalid number
2. expired date 01/20
3. month 13
4. CVV 12 / 12345
5. letters</t>
  </si>
  <si>
    <t xml:space="preserve">4111 1111 1111 1112</t>
  </si>
  <si>
    <t xml:space="preserve">Inline errors; payment not submitted</t>
  </si>
  <si>
    <t xml:space="preserve">TC-US34-05</t>
  </si>
  <si>
    <t xml:space="preserve">Payment failures show a clear error and allow retry without losing cart</t>
  </si>
  <si>
    <t xml:space="preserve">Retry after failure succeeds</t>
  </si>
  <si>
    <t xml:space="preserve">1. Pay with decline card
2. Retry with valid card</t>
  </si>
  <si>
    <t xml:space="preserve">Decline test card</t>
  </si>
  <si>
    <t xml:space="preserve">Clear failure message; retry succeeds; single order created</t>
  </si>
  <si>
    <t xml:space="preserve">TC-US34-06</t>
  </si>
  <si>
    <t xml:space="preserve">Gateway timeout / user closes popup</t>
  </si>
  <si>
    <t xml:space="preserve">1. Simulate timeout
2. Close UPI/3DS window mid-flow</t>
  </si>
  <si>
    <t xml:space="preserve">Order not confirmed; clear status message; cart and address intact; no duplicate charge</t>
  </si>
  <si>
    <t xml:space="preserve">TC-US35-01</t>
  </si>
  <si>
    <t xml:space="preserve">US-35</t>
  </si>
  <si>
    <t xml:space="preserve">Order review</t>
  </si>
  <si>
    <t xml:space="preserve">Review screen displays all order details accurately prior to payment</t>
  </si>
  <si>
    <t xml:space="preserve">Review screen accuracy</t>
  </si>
  <si>
    <t xml:space="preserve">Cart, address, shipping and payment steps completed</t>
  </si>
  <si>
    <t xml:space="preserve">1. Compare items, variants, quantities, address, shipping method, payment method and totals with earlier steps</t>
  </si>
  <si>
    <t xml:space="preserve">All details match exactly</t>
  </si>
  <si>
    <t xml:space="preserve">TC-US35-02</t>
  </si>
  <si>
    <t xml:space="preserve">Changes in another tab reflected</t>
  </si>
  <si>
    <t xml:space="preserve">1. Change cart qty in another tab
2. Refresh review page</t>
  </si>
  <si>
    <t xml:space="preserve">Review reflects latest cart or warns of change before placing order</t>
  </si>
  <si>
    <t xml:space="preserve">TC-US35-03</t>
  </si>
  <si>
    <t xml:space="preserve">User can navigate back to edit any section without losing other entered data</t>
  </si>
  <si>
    <t xml:space="preserve">Edit section and return</t>
  </si>
  <si>
    <t xml:space="preserve">1. Click Edit address
2. change
3. return to review</t>
  </si>
  <si>
    <t xml:space="preserve">Updated address shown; shipping/payment selections retained</t>
  </si>
  <si>
    <t xml:space="preserve">TC-US35-04</t>
  </si>
  <si>
    <t xml:space="preserve">Browser Back during checkout</t>
  </si>
  <si>
    <t xml:space="preserve">1. Use browser Back from review</t>
  </si>
  <si>
    <t xml:space="preserve">Previous step shown with data intact; no session loss or duplicate order</t>
  </si>
  <si>
    <t xml:space="preserve">TC-US36-01</t>
  </si>
  <si>
    <t xml:space="preserve">US-36</t>
  </si>
  <si>
    <t xml:space="preserve">Order confirmation</t>
  </si>
  <si>
    <t xml:space="preserve">Confirmation page shows correct order number, items, and total</t>
  </si>
  <si>
    <t xml:space="preserve">Confirmation page accuracy</t>
  </si>
  <si>
    <t xml:space="preserve">Order ready to be placed; mailbox for customer email</t>
  </si>
  <si>
    <t xml:space="preserve">1. Place order
2. inspect confirmation</t>
  </si>
  <si>
    <t xml:space="preserve">Unique order number; items, qty, total, address and ETA correct</t>
  </si>
  <si>
    <t xml:space="preserve">TC-US36-02</t>
  </si>
  <si>
    <t xml:space="preserve">Confirmation page accessed directly by other user</t>
  </si>
  <si>
    <t xml:space="preserve">1. Copy confirmation URL
2. open in another account/incognito</t>
  </si>
  <si>
    <t xml:space="preserve">Access denied or minimal info; no PII of other customer</t>
  </si>
  <si>
    <t xml:space="preserve">TC-US36-03</t>
  </si>
  <si>
    <t xml:space="preserve">Confirmation email is sent promptly and matches the order details</t>
  </si>
  <si>
    <t xml:space="preserve">Email content matches order</t>
  </si>
  <si>
    <t xml:space="preserve">1. Check mailbox within 5 minutes</t>
  </si>
  <si>
    <t xml:space="preserve">Email received with correct order no, items, totals, address; links work</t>
  </si>
  <si>
    <t xml:space="preserve">TC-US36-04</t>
  </si>
  <si>
    <t xml:space="preserve">Email failure does not block order</t>
  </si>
  <si>
    <t xml:space="preserve">1. Disable email service (sandbox) and place order</t>
  </si>
  <si>
    <t xml:space="preserve">Order still placed; email queued/retried; issue logged</t>
  </si>
  <si>
    <t xml:space="preserve">TC-US36-05</t>
  </si>
  <si>
    <t xml:space="preserve">Refreshing/revisiting the confirmation page does not duplicate the order</t>
  </si>
  <si>
    <t xml:space="preserve">Refresh confirmation</t>
  </si>
  <si>
    <t xml:space="preserve">1. Press F5 on confirmation page 3 times</t>
  </si>
  <si>
    <t xml:space="preserve">Same order shown; no new order</t>
  </si>
  <si>
    <t xml:space="preserve">TC-US36-06</t>
  </si>
  <si>
    <t xml:space="preserve">Back and resubmit</t>
  </si>
  <si>
    <t xml:space="preserve">1. Press Back to review and click Place Order again</t>
  </si>
  <si>
    <t xml:space="preserve">Duplicate prevented; user informed order already placed; single entry in order history</t>
  </si>
  <si>
    <t xml:space="preserve">TC-US37-01</t>
  </si>
  <si>
    <t xml:space="preserve">US-37</t>
  </si>
  <si>
    <t xml:space="preserve">Duplicate-charge prevention</t>
  </si>
  <si>
    <t xml:space="preserve">Rapid double-clicks or network retries do not create duplicate orders/charges</t>
  </si>
  <si>
    <t xml:space="preserve">Single click creates one order</t>
  </si>
  <si>
    <t xml:space="preserve">Order ready at review step; network tools available (DevTools throttling)</t>
  </si>
  <si>
    <t xml:space="preserve">1. Click Place Order once</t>
  </si>
  <si>
    <t xml:space="preserve">Exactly one order and one payment in admin/gateway</t>
  </si>
  <si>
    <t xml:space="preserve">TC-US37-02</t>
  </si>
  <si>
    <t xml:space="preserve">Double-click and network retry</t>
  </si>
  <si>
    <t xml:space="preserve">1. Double/triple-click Place Order
2. Replay the place-order request
3. Throttle network and click again</t>
  </si>
  <si>
    <t xml:space="preserve">Only one order and one charge; idempotency key honoured; replay rejected</t>
  </si>
  <si>
    <t xml:space="preserve">TC-US37-03</t>
  </si>
  <si>
    <t xml:space="preserve">Submit button disables/shows loading state after first click</t>
  </si>
  <si>
    <t xml:space="preserve">Button shows loading state</t>
  </si>
  <si>
    <t xml:space="preserve">1. Click Place Order and observe</t>
  </si>
  <si>
    <t xml:space="preserve">Button disabled with spinner until response</t>
  </si>
  <si>
    <t xml:space="preserve">TC-US37-04</t>
  </si>
  <si>
    <t xml:space="preserve">Button state after failure</t>
  </si>
  <si>
    <t xml:space="preserve">1. Force payment failure</t>
  </si>
  <si>
    <t xml:space="preserve">Button re-enabled with error message to allow retry</t>
  </si>
  <si>
    <t xml:space="preserve">TC-US38-01</t>
  </si>
  <si>
    <t xml:space="preserve">US-38</t>
  </si>
  <si>
    <t xml:space="preserve">Secure transmission of data</t>
  </si>
  <si>
    <t xml:space="preserve">All checkout/payment pages load over HTTPS with a valid certificate</t>
  </si>
  <si>
    <t xml:space="preserve">HTTPS and valid certificate</t>
  </si>
  <si>
    <t xml:space="preserve">Test environment on HTTPS; DevTools and proxy (ZAP/Burp) available</t>
  </si>
  <si>
    <t xml:space="preserve">1. Open cart, checkout, payment pages
2. Inspect certificate</t>
  </si>
  <si>
    <t xml:space="preserve">All pages HTTPS; certificate valid (issuer, expiry, hostname); HSTS header present</t>
  </si>
  <si>
    <t xml:space="preserve">TC-US38-02</t>
  </si>
  <si>
    <t xml:space="preserve">HTTP access and mixed content</t>
  </si>
  <si>
    <t xml:space="preserve">1. Request http:// version
2. Check console for mixed-content warnings</t>
  </si>
  <si>
    <t xml:space="preserve">Redirects to HTTPS (301); no mixed-content resources</t>
  </si>
  <si>
    <t xml:space="preserve">TC-US38-03</t>
  </si>
  <si>
    <t xml:space="preserve">No card/CVV data appears in browser console, network logs in plaintext, or URL parameters</t>
  </si>
  <si>
    <t xml:space="preserve">Card data tokenised</t>
  </si>
  <si>
    <t xml:space="preserve">1. Pay by card with DevTools/proxy capturing
2. Inspect requests</t>
  </si>
  <si>
    <t xml:space="preserve">Card data sent only to gateway/iframe over TLS; own server receives token only</t>
  </si>
  <si>
    <t xml:space="preserve">TC-US38-04</t>
  </si>
  <si>
    <t xml:space="preserve">Sensitive data leakage checks</t>
  </si>
  <si>
    <t xml:space="preserve">1. Search HAR, console, URLs, localStorage for card number / CVV</t>
  </si>
  <si>
    <t xml:space="preserve">4111 1111 1111 1111; CVV 123</t>
  </si>
  <si>
    <t xml:space="preserve">No PAN or CVV found in URLs, logs, storage or analytics calls</t>
  </si>
  <si>
    <t xml:space="preserve">TC-US39-01</t>
  </si>
  <si>
    <t xml:space="preserve">US-39</t>
  </si>
  <si>
    <t xml:space="preserve">Gift card / store credit</t>
  </si>
  <si>
    <t xml:space="preserve">Gift card balance is validated and deducted correctly from the order total</t>
  </si>
  <si>
    <t xml:space="preserve">Full gift card payment</t>
  </si>
  <si>
    <t xml:space="preserve">Gift cards: GC-1000 (balance 1000), GC-ZERO (balance 0), GC-EXP (expired)</t>
  </si>
  <si>
    <t xml:space="preserve">1. Apply GC-1000 to order of 800</t>
  </si>
  <si>
    <t xml:space="preserve">800 deducted; remaining balance 200; payable 0</t>
  </si>
  <si>
    <t xml:space="preserve">TC-US39-02</t>
  </si>
  <si>
    <t xml:space="preserve">Invalid / zero / expired / reused card</t>
  </si>
  <si>
    <t xml:space="preserve">1. Apply GC-ZERO, GC-EXP, wrong PIN, random code
2. Apply same card in two parallel sessions</t>
  </si>
  <si>
    <t xml:space="preserve">Clear error; no deduction; balance never goes negative</t>
  </si>
  <si>
    <t xml:space="preserve">TC-US39-03</t>
  </si>
  <si>
    <t xml:space="preserve">Partial gift card balance leaves the remainder payable via another method</t>
  </si>
  <si>
    <t xml:space="preserve">Split payment</t>
  </si>
  <si>
    <t xml:space="preserve">1. Apply GC-1000 to order of 1500
2. Pay 500 by card</t>
  </si>
  <si>
    <t xml:space="preserve">1000 from gift card; 500 charged to card; both on invoice</t>
  </si>
  <si>
    <t xml:space="preserve">TC-US39-04</t>
  </si>
  <si>
    <t xml:space="preserve">Split payment failure</t>
  </si>
  <si>
    <t xml:space="preserve">1. Second payment method fails</t>
  </si>
  <si>
    <t xml:space="preserve">Gift card amount released/not consumed; order not placed; clear message</t>
  </si>
  <si>
    <t xml:space="preserve">TC-US40-01</t>
  </si>
  <si>
    <t xml:space="preserve">M07</t>
  </si>
  <si>
    <t xml:space="preserve">US-40</t>
  </si>
  <si>
    <t xml:space="preserve">Order history</t>
  </si>
  <si>
    <t xml:space="preserve">Order history lists all past orders with correct status, date, and total</t>
  </si>
  <si>
    <t xml:space="preserve">Order history accuracy</t>
  </si>
  <si>
    <t xml:space="preserve">Customer with 3+ past orders in different statuses</t>
  </si>
  <si>
    <t xml:space="preserve">1. Open My Orders
2. Compare with admin records</t>
  </si>
  <si>
    <t xml:space="preserve">All orders listed newest first with correct number, date, status, total</t>
  </si>
  <si>
    <t xml:space="preserve">TC-US40-02</t>
  </si>
  <si>
    <t xml:space="preserve">No orders / many orders</t>
  </si>
  <si>
    <t xml:space="preserve">1. New account with no orders
2. Account with 50+ orders</t>
  </si>
  <si>
    <t xml:space="preserve">Empty state with shop link; pagination works for many orders</t>
  </si>
  <si>
    <t xml:space="preserve">TC-US40-03</t>
  </si>
  <si>
    <t xml:space="preserve">Each order links to a detailed order view</t>
  </si>
  <si>
    <t xml:space="preserve">Open order detail</t>
  </si>
  <si>
    <t xml:space="preserve">1. Click an order</t>
  </si>
  <si>
    <t xml:space="preserve">Detail shows items, address, payment, status timeline, invoice link</t>
  </si>
  <si>
    <t xml:space="preserve">TC-US40-04</t>
  </si>
  <si>
    <t xml:space="preserve">Access another user's order</t>
  </si>
  <si>
    <t xml:space="preserve">1. Change order ID in URL to another customer's order</t>
  </si>
  <si>
    <t xml:space="preserve">Access denied (403/404); no data exposed</t>
  </si>
  <si>
    <t xml:space="preserve">TC-US41-01</t>
  </si>
  <si>
    <t xml:space="preserve">US-41</t>
  </si>
  <si>
    <t xml:space="preserve">Shipment tracking</t>
  </si>
  <si>
    <t xml:space="preserve">Tracking status updates reflect real courier/shipment data</t>
  </si>
  <si>
    <t xml:space="preserve">Status updates follow courier events</t>
  </si>
  <si>
    <t xml:space="preserve">Shipped order with tracking number; courier stub/sandbox</t>
  </si>
  <si>
    <t xml:space="preserve">1. Push events Picked up → In transit → Out for delivery → Delivered</t>
  </si>
  <si>
    <t xml:space="preserve">Courier stub</t>
  </si>
  <si>
    <t xml:space="preserve">Status and timeline update accordingly with timestamps</t>
  </si>
  <si>
    <t xml:space="preserve">TC-US41-02</t>
  </si>
  <si>
    <t xml:space="preserve">Out-of-order or unknown events</t>
  </si>
  <si>
    <t xml:space="preserve">1. Send delayed/out-of-sequence or unknown status event</t>
  </si>
  <si>
    <t xml:space="preserve">Timeline remains consistent; unknown status handled gracefully</t>
  </si>
  <si>
    <t xml:space="preserve">TC-US41-03</t>
  </si>
  <si>
    <t xml:space="preserve">Tracking link/number is valid and functional</t>
  </si>
  <si>
    <t xml:space="preserve">Tracking link works</t>
  </si>
  <si>
    <t xml:space="preserve">1. Click tracking number/link</t>
  </si>
  <si>
    <t xml:space="preserve">Opens courier tracking page with correct AWB</t>
  </si>
  <si>
    <t xml:space="preserve">TC-US41-04</t>
  </si>
  <si>
    <t xml:space="preserve">Order without tracking yet</t>
  </si>
  <si>
    <t xml:space="preserve">1. Open tracking for a packed but unshipped order</t>
  </si>
  <si>
    <t xml:space="preserve">"Tracking will be available once shipped"; no broken link</t>
  </si>
  <si>
    <t xml:space="preserve">TC-US42-01</t>
  </si>
  <si>
    <t xml:space="preserve">US-42</t>
  </si>
  <si>
    <t xml:space="preserve">Order cancellation</t>
  </si>
  <si>
    <t xml:space="preserve">Cancel option is available only while order is in a cancellable status</t>
  </si>
  <si>
    <t xml:space="preserve">Cancel eligible order</t>
  </si>
  <si>
    <t xml:space="preserve">Orders in Placed/Confirmed (cancellable) and Shipped (not cancellable) states; refund sandbox</t>
  </si>
  <si>
    <t xml:space="preserve">1. Open Placed order
2. Click Cancel
3. select reason
4. confirm</t>
  </si>
  <si>
    <t xml:space="preserve">Order status Cancelled; confirmation shown and emailed</t>
  </si>
  <si>
    <t xml:space="preserve">TC-US42-02</t>
  </si>
  <si>
    <t xml:space="preserve">Cancel non-cancellable order</t>
  </si>
  <si>
    <t xml:space="preserve">1. Open Shipped/Delivered order
2. Try cancel via UI and via API</t>
  </si>
  <si>
    <t xml:space="preserve">Cancel option hidden/disabled; API rejects request</t>
  </si>
  <si>
    <t xml:space="preserve">TC-US42-03</t>
  </si>
  <si>
    <t xml:space="preserve">Successful cancellation triggers a refund per policy and updates order status</t>
  </si>
  <si>
    <t xml:space="preserve">Refund on prepaid cancellation</t>
  </si>
  <si>
    <t xml:space="preserve">1. Cancel prepaid order</t>
  </si>
  <si>
    <t xml:space="preserve">Refund initiated to original method for full amount; status reflects refund</t>
  </si>
  <si>
    <t xml:space="preserve">TC-US42-04</t>
  </si>
  <si>
    <t xml:space="preserve">COD cancellation / double cancel</t>
  </si>
  <si>
    <t xml:space="preserve">1. Cancel COD order
2. Click cancel twice</t>
  </si>
  <si>
    <t xml:space="preserve">No refund needed for COD; second cancel ignored; stock restored once</t>
  </si>
  <si>
    <t xml:space="preserve">TC-US43-01</t>
  </si>
  <si>
    <t xml:space="preserve">US-43</t>
  </si>
  <si>
    <t xml:space="preserve">Returns / exchanges</t>
  </si>
  <si>
    <t xml:space="preserve">Return/exchange request is only allowed within the eligible return window</t>
  </si>
  <si>
    <t xml:space="preserve">Return inside window</t>
  </si>
  <si>
    <t xml:space="preserve">Delivered orders inside and outside return window; return reasons configured</t>
  </si>
  <si>
    <t xml:space="preserve">1. Open delivered order within window
2. Request return</t>
  </si>
  <si>
    <t xml:space="preserve">Delivered 3 days ago</t>
  </si>
  <si>
    <t xml:space="preserve">Return option available; request created with ID</t>
  </si>
  <si>
    <t xml:space="preserve">TC-US43-02</t>
  </si>
  <si>
    <t xml:space="preserve">Return outside window / non-returnable item</t>
  </si>
  <si>
    <t xml:space="preserve">1. Order past window
2. innerwear/final-sale item</t>
  </si>
  <si>
    <t xml:space="preserve">Return option hidden with reason; API rejects</t>
  </si>
  <si>
    <t xml:space="preserve">TC-US43-03</t>
  </si>
  <si>
    <t xml:space="preserve">Reason selection and item condition upload (if required) work correctly</t>
  </si>
  <si>
    <t xml:space="preserve">Reason and photo upload</t>
  </si>
  <si>
    <t xml:space="preserve">1. Select reason
2. Upload JPG/PNG within size limit</t>
  </si>
  <si>
    <t xml:space="preserve">2 MB JPG</t>
  </si>
  <si>
    <t xml:space="preserve">Request submitted with reason and image</t>
  </si>
  <si>
    <t xml:space="preserve">TC-US43-04</t>
  </si>
  <si>
    <t xml:space="preserve">Invalid uploads / missing reason</t>
  </si>
  <si>
    <t xml:space="preserve">1. Submit without reason
2. upload .exe, 25 MB file, renamed script</t>
  </si>
  <si>
    <t xml:space="preserve">Validation errors; unsafe/oversized files rejected</t>
  </si>
  <si>
    <t xml:space="preserve">TC-US43-05</t>
  </si>
  <si>
    <t xml:space="preserve">Return status is trackable through pickup, receipt, and refund/exchange completion</t>
  </si>
  <si>
    <t xml:space="preserve">Return lifecycle tracking</t>
  </si>
  <si>
    <t xml:space="preserve">1. Progress return through Requested → Pickup scheduled → Picked → Received → Refunded/Exchanged</t>
  </si>
  <si>
    <t xml:space="preserve">Each status visible with dates; notifications sent</t>
  </si>
  <si>
    <t xml:space="preserve">TC-US43-06</t>
  </si>
  <si>
    <t xml:space="preserve">Failed pickup / rejected QC</t>
  </si>
  <si>
    <t xml:space="preserve">1. Simulate failed pickup and QC rejection</t>
  </si>
  <si>
    <t xml:space="preserve">Status and reason shown; customer can reschedule or is informed; no refund on rejection</t>
  </si>
  <si>
    <t xml:space="preserve">TC-US44-01</t>
  </si>
  <si>
    <t xml:space="preserve">US-44</t>
  </si>
  <si>
    <t xml:space="preserve">Refund status &amp; amount</t>
  </si>
  <si>
    <t xml:space="preserve">Refund amount matches item price plus/minus applicable policy (shipping, restocking fee)</t>
  </si>
  <si>
    <t xml:space="preserve">Refund amount correct</t>
  </si>
  <si>
    <t xml:space="preserve">Return received for prepaid order; refund policy (shipping/restocking fees) known</t>
  </si>
  <si>
    <t xml:space="preserve">1. Complete return of 1 of 2 items with coupon applied</t>
  </si>
  <si>
    <t xml:space="preserve">Oracle calculation</t>
  </si>
  <si>
    <t xml:space="preserve">Refund equals item price minus proportionate discount ± fees per policy</t>
  </si>
  <si>
    <t xml:space="preserve">TC-US44-02</t>
  </si>
  <si>
    <t xml:space="preserve">Partial and multiple returns</t>
  </si>
  <si>
    <t xml:space="preserve">1. Return items in two separate requests</t>
  </si>
  <si>
    <t xml:space="preserve">Sum of refunds never exceeds amount paid</t>
  </si>
  <si>
    <t xml:space="preserve">TC-US44-03</t>
  </si>
  <si>
    <t xml:space="preserve">Refund status updates correctly (initiated, processed, completed)</t>
  </si>
  <si>
    <t xml:space="preserve">Refund status progression</t>
  </si>
  <si>
    <t xml:space="preserve">1. Move refund through states in gateway sandbox</t>
  </si>
  <si>
    <t xml:space="preserve">Status shows Initiated → Processed → Completed with dates and reference no</t>
  </si>
  <si>
    <t xml:space="preserve">TC-US44-04</t>
  </si>
  <si>
    <t xml:space="preserve">Refund failure</t>
  </si>
  <si>
    <t xml:space="preserve">1. Simulate gateway refund failure</t>
  </si>
  <si>
    <t xml:space="preserve">Status Failed/Retrying with message; no false "completed"</t>
  </si>
  <si>
    <t xml:space="preserve">TC-US45-01</t>
  </si>
  <si>
    <t xml:space="preserve">US-45</t>
  </si>
  <si>
    <t xml:space="preserve">Invoice</t>
  </si>
  <si>
    <t xml:space="preserve">Invoice reflects accurate item, tax, and total details</t>
  </si>
  <si>
    <t xml:space="preserve">Invoice data accuracy</t>
  </si>
  <si>
    <t xml:space="preserve">Delivered order exists</t>
  </si>
  <si>
    <t xml:space="preserve">1. Open invoice
2. Compare with order</t>
  </si>
  <si>
    <t xml:space="preserve">Seller details, invoice no/date, items, HSN/tax breakdown, discounts, totals correct</t>
  </si>
  <si>
    <t xml:space="preserve">TC-US45-02</t>
  </si>
  <si>
    <t xml:space="preserve">Invoice after partial return / cancellation</t>
  </si>
  <si>
    <t xml:space="preserve">1. Open invoice for partially returned order</t>
  </si>
  <si>
    <t xml:space="preserve">Credit note/updated invoice per policy; no mismatch</t>
  </si>
  <si>
    <t xml:space="preserve">TC-US45-03</t>
  </si>
  <si>
    <t xml:space="preserve">Invoice downloads in a valid, readable format (e.g., PDF)</t>
  </si>
  <si>
    <t xml:space="preserve">Download invoice PDF</t>
  </si>
  <si>
    <t xml:space="preserve">1. Click Download invoice</t>
  </si>
  <si>
    <t xml:space="preserve">Valid PDF opens in viewers; readable text; correct file name</t>
  </si>
  <si>
    <t xml:space="preserve">TC-US45-04</t>
  </si>
  <si>
    <t xml:space="preserve">Invoice access control</t>
  </si>
  <si>
    <t xml:space="preserve">1. Access another customer's invoice URL
2. unauthenticated</t>
  </si>
  <si>
    <t xml:space="preserve">Access denied</t>
  </si>
  <si>
    <t xml:space="preserve">TC-US46-01</t>
  </si>
  <si>
    <t xml:space="preserve">M08</t>
  </si>
  <si>
    <t xml:space="preserve">US-46</t>
  </si>
  <si>
    <t xml:space="preserve">Profile update</t>
  </si>
  <si>
    <t xml:space="preserve">Each field updates and persists correctly after save</t>
  </si>
  <si>
    <t xml:space="preserve">Update name and phone</t>
  </si>
  <si>
    <t xml:space="preserve">Logged-in user on Profile page</t>
  </si>
  <si>
    <t xml:space="preserve">1. Edit name and phone
2. Save
3. Reload</t>
  </si>
  <si>
    <t xml:space="preserve">Changes persisted and shown after reload and re-login</t>
  </si>
  <si>
    <t xml:space="preserve">TC-US46-02</t>
  </si>
  <si>
    <t xml:space="preserve">Cancel edit / session expired on save</t>
  </si>
  <si>
    <t xml:space="preserve">1. Edit then Cancel
2. Save after session expiry</t>
  </si>
  <si>
    <t xml:space="preserve">Cancel keeps old values; expired session prompts login without losing input where possible</t>
  </si>
  <si>
    <t xml:space="preserve">TC-US46-03</t>
  </si>
  <si>
    <t xml:space="preserve">Email/password changes require current password confirmation</t>
  </si>
  <si>
    <t xml:space="preserve">Change password with current password</t>
  </si>
  <si>
    <t xml:space="preserve">1. Enter current, new, confirm</t>
  </si>
  <si>
    <t xml:space="preserve">Qa@12345 → New@2026</t>
  </si>
  <si>
    <t xml:space="preserve">Password changed; other sessions logged out per policy; notification email sent</t>
  </si>
  <si>
    <t xml:space="preserve">TC-US46-04</t>
  </si>
  <si>
    <t xml:space="preserve">Wrong current password / email change without it</t>
  </si>
  <si>
    <t xml:space="preserve">1. Enter wrong current password
2. try changing email without password</t>
  </si>
  <si>
    <t xml:space="preserve">Change rejected; generic error; no update</t>
  </si>
  <si>
    <t xml:space="preserve">TC-US46-05</t>
  </si>
  <si>
    <t xml:space="preserve">Validation errors display clearly for invalid inputs</t>
  </si>
  <si>
    <t xml:space="preserve">Valid boundary inputs accepted</t>
  </si>
  <si>
    <t xml:space="preserve">1. Name at max length
2. valid 10-digit phone</t>
  </si>
  <si>
    <t xml:space="preserve">TC-US46-06</t>
  </si>
  <si>
    <t xml:space="preserve">Invalid inputs</t>
  </si>
  <si>
    <t xml:space="preserve">1. Name with script tags
2. phone letters
3. email in use by another account</t>
  </si>
  <si>
    <t xml:space="preserve">Clear field errors; input sanitised; duplicate email blocked</t>
  </si>
  <si>
    <t xml:space="preserve">TC-US47-01</t>
  </si>
  <si>
    <t xml:space="preserve">US-47</t>
  </si>
  <si>
    <t xml:space="preserve">Saved addresses</t>
  </si>
  <si>
    <t xml:space="preserve">Add/edit/delete address operations work correctly</t>
  </si>
  <si>
    <t xml:space="preserve">Add, edit and delete</t>
  </si>
  <si>
    <t xml:space="preserve">Logged-in user on Address book</t>
  </si>
  <si>
    <t xml:space="preserve">1. Add address
2. Edit it
3. Delete it with confirmation</t>
  </si>
  <si>
    <t xml:space="preserve">Each operation persists and list updates</t>
  </si>
  <si>
    <t xml:space="preserve">TC-US47-02</t>
  </si>
  <si>
    <t xml:space="preserve">Invalid address / max addresses</t>
  </si>
  <si>
    <t xml:space="preserve">1. Save invalid PIN
2. add beyond max allowed</t>
  </si>
  <si>
    <t xml:space="preserve">Validation errors; limit message</t>
  </si>
  <si>
    <t xml:space="preserve">TC-US47-03</t>
  </si>
  <si>
    <t xml:space="preserve">A default address can be set and is pre-selected at checkout</t>
  </si>
  <si>
    <t xml:space="preserve">Default pre-selected</t>
  </si>
  <si>
    <t xml:space="preserve">1. Set address B as default
2. Go to checkout</t>
  </si>
  <si>
    <t xml:space="preserve">Address B pre-selected</t>
  </si>
  <si>
    <t xml:space="preserve">TC-US47-04</t>
  </si>
  <si>
    <t xml:space="preserve">Delete default address</t>
  </si>
  <si>
    <t xml:space="preserve">1. Delete the default address</t>
  </si>
  <si>
    <t xml:space="preserve">Another address becomes default or prompt to choose; checkout still works</t>
  </si>
  <si>
    <t xml:space="preserve">TC-US48-01</t>
  </si>
  <si>
    <t xml:space="preserve">US-48</t>
  </si>
  <si>
    <t xml:space="preserve">Saved payment methods</t>
  </si>
  <si>
    <t xml:space="preserve">Saved cards show only masked numbers (last 4 digits)</t>
  </si>
  <si>
    <t xml:space="preserve">Masked display</t>
  </si>
  <si>
    <t xml:space="preserve">Logged-in user; card saving supported via gateway tokenisation</t>
  </si>
  <si>
    <t xml:space="preserve">1. Save a card
2. View Saved Payments</t>
  </si>
  <si>
    <t xml:space="preserve">4111 1111 1111 1111</t>
  </si>
  <si>
    <t xml:space="preserve">Shows brand and •••• 1111 and expiry only</t>
  </si>
  <si>
    <t xml:space="preserve">TC-US48-02</t>
  </si>
  <si>
    <t xml:space="preserve">Full PAN not exposed anywhere</t>
  </si>
  <si>
    <t xml:space="preserve">1. Inspect page source, API responses, storage</t>
  </si>
  <si>
    <t xml:space="preserve">No full PAN or CVV present</t>
  </si>
  <si>
    <t xml:space="preserve">TC-US48-03</t>
  </si>
  <si>
    <t xml:space="preserve">Adding/removing a saved payment method works correctly and securely</t>
  </si>
  <si>
    <t xml:space="preserve">Add and remove card</t>
  </si>
  <si>
    <t xml:space="preserve">1. Add card with consent
2. Remove card</t>
  </si>
  <si>
    <t xml:space="preserve">Card saved (with re-auth/OTP if required); removed card no longer usable at checkout</t>
  </si>
  <si>
    <t xml:space="preserve">TC-US48-04</t>
  </si>
  <si>
    <t xml:space="preserve">Remove card via tampered request / other user's card</t>
  </si>
  <si>
    <t xml:space="preserve">1. Send delete for another user's card ID</t>
  </si>
  <si>
    <t xml:space="preserve">Rejected (403); CSRF token enforced</t>
  </si>
  <si>
    <t xml:space="preserve">TC-US49-01</t>
  </si>
  <si>
    <t xml:space="preserve">US-49</t>
  </si>
  <si>
    <t xml:space="preserve">Wishlist management</t>
  </si>
  <si>
    <t xml:space="preserve">Wishlist persists across sessions for logged-in users</t>
  </si>
  <si>
    <t xml:space="preserve">Wishlist persists</t>
  </si>
  <si>
    <t xml:space="preserve">Logged-in user with items in wishlist</t>
  </si>
  <si>
    <t xml:space="preserve">1. Log out and in on another device</t>
  </si>
  <si>
    <t xml:space="preserve">Wishlist items intact</t>
  </si>
  <si>
    <t xml:space="preserve">TC-US49-02</t>
  </si>
  <si>
    <t xml:space="preserve">Wishlisted item becomes OOS or delisted</t>
  </si>
  <si>
    <t xml:space="preserve">1. Set item OOS / delete product</t>
  </si>
  <si>
    <t xml:space="preserve">Item shown as OOS/unavailable; no broken tile</t>
  </si>
  <si>
    <t xml:space="preserve">TC-US49-03</t>
  </si>
  <si>
    <t xml:space="preserve">'Move to cart' from wishlist adds the correct item/variant to the cart</t>
  </si>
  <si>
    <t xml:space="preserve">Move to cart</t>
  </si>
  <si>
    <t xml:space="preserve">1. Click Move to cart for Red/L item</t>
  </si>
  <si>
    <t xml:space="preserve">Cart has Red/L; removed from wishlist per design</t>
  </si>
  <si>
    <t xml:space="preserve">TC-US49-04</t>
  </si>
  <si>
    <t xml:space="preserve">Move item without variant selected / OOS</t>
  </si>
  <si>
    <t xml:space="preserve">1. Move item saved without size
2. move OOS item</t>
  </si>
  <si>
    <t xml:space="preserve">Size selection prompted; OOS blocked with message</t>
  </si>
  <si>
    <t xml:space="preserve">TC-US49-05</t>
  </si>
  <si>
    <t xml:space="preserve">Removing items from the wishlist updates the list immediately</t>
  </si>
  <si>
    <t xml:space="preserve">Remove item</t>
  </si>
  <si>
    <t xml:space="preserve">1. Click remove on item</t>
  </si>
  <si>
    <t xml:space="preserve">Item disappears immediately; count updates</t>
  </si>
  <si>
    <t xml:space="preserve">TC-US49-06</t>
  </si>
  <si>
    <t xml:space="preserve">Remove last item</t>
  </si>
  <si>
    <t xml:space="preserve">Empty wishlist state shown</t>
  </si>
  <si>
    <t xml:space="preserve">TC-US50-01</t>
  </si>
  <si>
    <t xml:space="preserve">M09</t>
  </si>
  <si>
    <t xml:space="preserve">US-50</t>
  </si>
  <si>
    <t xml:space="preserve">Order notifications</t>
  </si>
  <si>
    <t xml:space="preserve">Notifications trigger at the correct order lifecycle stage</t>
  </si>
  <si>
    <t xml:space="preserve">Notifications at each stage</t>
  </si>
  <si>
    <t xml:space="preserve">Email/SMS sandbox configured; test order available</t>
  </si>
  <si>
    <t xml:space="preserve">1. Move order: Confirmed → Shipped → Out for delivery → Delivered</t>
  </si>
  <si>
    <t xml:space="preserve">One email/SMS per stage, sent promptly</t>
  </si>
  <si>
    <t xml:space="preserve">TC-US50-02</t>
  </si>
  <si>
    <t xml:space="preserve">No duplicate / wrong-stage notifications</t>
  </si>
  <si>
    <t xml:space="preserve">1. Repeat a status update
2. cancel order</t>
  </si>
  <si>
    <t xml:space="preserve">No duplicate messages; cancellation notice sent, no shipped notice</t>
  </si>
  <si>
    <t xml:space="preserve">TC-US50-03</t>
  </si>
  <si>
    <t xml:space="preserve">Notification content matches actual order data</t>
  </si>
  <si>
    <t xml:space="preserve">Content accuracy</t>
  </si>
  <si>
    <t xml:space="preserve">1. Compare notification content with order</t>
  </si>
  <si>
    <t xml:space="preserve">Order no, items, amount, tracking link correct; personalised name</t>
  </si>
  <si>
    <t xml:space="preserve">TC-US50-04</t>
  </si>
  <si>
    <t xml:space="preserve">Special characters / long names</t>
  </si>
  <si>
    <t xml:space="preserve">1. Customer name with apostrophe and non-ASCII
2. long product names</t>
  </si>
  <si>
    <t xml:space="preserve">O'Brien, Zoë</t>
  </si>
  <si>
    <t xml:space="preserve">Rendered correctly; no broken template tokens like {{name}}</t>
  </si>
  <si>
    <t xml:space="preserve">TC-US51-01</t>
  </si>
  <si>
    <t xml:space="preserve">US-51</t>
  </si>
  <si>
    <t xml:space="preserve">Newsletter</t>
  </si>
  <si>
    <t xml:space="preserve">Subscribe form validates email format and confirms subscription</t>
  </si>
  <si>
    <t xml:space="preserve">Subscribe with valid email</t>
  </si>
  <si>
    <t xml:space="preserve">Newsletter signup in footer</t>
  </si>
  <si>
    <t xml:space="preserve">1. Enter valid email
2. Submit</t>
  </si>
  <si>
    <t xml:space="preserve">news.&lt;ts&gt;@testmail.com</t>
  </si>
  <si>
    <t xml:space="preserve">Success message; confirmation/double opt-in email received</t>
  </si>
  <si>
    <t xml:space="preserve">TC-US51-02</t>
  </si>
  <si>
    <t xml:space="preserve">Invalid / duplicate email</t>
  </si>
  <si>
    <t xml:space="preserve">1. Submit invalid format
2. already subscribed email</t>
  </si>
  <si>
    <t xml:space="preserve">"abc@"; existing</t>
  </si>
  <si>
    <t xml:space="preserve">Validation error; duplicate handled gracefully</t>
  </si>
  <si>
    <t xml:space="preserve">TC-US51-03</t>
  </si>
  <si>
    <t xml:space="preserve">Unsubscribe link works and stops future emails</t>
  </si>
  <si>
    <t xml:space="preserve">Unsubscribe from email link</t>
  </si>
  <si>
    <t xml:space="preserve">1. Click unsubscribe in email</t>
  </si>
  <si>
    <t xml:space="preserve">Confirmation page; status unsubscribed; no further marketing emails</t>
  </si>
  <si>
    <t xml:space="preserve">TC-US51-04</t>
  </si>
  <si>
    <t xml:space="preserve">Tampered unsubscribe link</t>
  </si>
  <si>
    <t xml:space="preserve">1. Modify token in link</t>
  </si>
  <si>
    <t xml:space="preserve">Invalid link message; other users not unsubscribed</t>
  </si>
  <si>
    <t xml:space="preserve">TC-US52-01</t>
  </si>
  <si>
    <t xml:space="preserve">US-52</t>
  </si>
  <si>
    <t xml:space="preserve">Sale / discount pricing</t>
  </si>
  <si>
    <t xml:space="preserve">Discounted price, original price, and % off are mathematically consistent</t>
  </si>
  <si>
    <t xml:space="preserve">Price display consistency</t>
  </si>
  <si>
    <t xml:space="preserve">Sale items configured with original and sale prices</t>
  </si>
  <si>
    <t xml:space="preserve">1. Check items: MRP 2000 sale 1500</t>
  </si>
  <si>
    <t xml:space="preserve">Shows ₹1,500, strikethrough ₹2,000, 25% off; same values on listing, PDP, cart</t>
  </si>
  <si>
    <t xml:space="preserve">TC-US52-02</t>
  </si>
  <si>
    <t xml:space="preserve">Rounding cases</t>
  </si>
  <si>
    <t xml:space="preserve">1. MRP 999 sale 666 (33.33%)</t>
  </si>
  <si>
    <t xml:space="preserve">% off rounded per rule consistently; cart charges sale price</t>
  </si>
  <si>
    <t xml:space="preserve">TC-US52-03</t>
  </si>
  <si>
    <t xml:space="preserve">Promotional badges (e.g., 'Sale', 'New') display only on qualifying products</t>
  </si>
  <si>
    <t xml:space="preserve">Badges on qualifying items</t>
  </si>
  <si>
    <t xml:space="preserve">1. Inspect sale and new-arrival items</t>
  </si>
  <si>
    <t xml:space="preserve">Correct badges shown</t>
  </si>
  <si>
    <t xml:space="preserve">TC-US52-04</t>
  </si>
  <si>
    <t xml:space="preserve">Badges removed when promotion ends</t>
  </si>
  <si>
    <t xml:space="preserve">1. End sale in admin
2. Refresh</t>
  </si>
  <si>
    <t xml:space="preserve">Sale badge and strikethrough removed; regular price charged</t>
  </si>
  <si>
    <t xml:space="preserve">TC-US53-01</t>
  </si>
  <si>
    <t xml:space="preserve">US-53</t>
  </si>
  <si>
    <t xml:space="preserve">Back-in-stock notification</t>
  </si>
  <si>
    <t xml:space="preserve">'Notify me' signup captures email correctly against the specific variant</t>
  </si>
  <si>
    <t xml:space="preserve">Notify me for variant</t>
  </si>
  <si>
    <t xml:space="preserve">Out-of-stock variant with Notify Me enabled</t>
  </si>
  <si>
    <t xml:space="preserve">1. Select OOS Blue/XL
2. Click Notify me
3. enter email</t>
  </si>
  <si>
    <t xml:space="preserve">Confirmation; subscription stored for Blue/XL</t>
  </si>
  <si>
    <t xml:space="preserve">TC-US53-02</t>
  </si>
  <si>
    <t xml:space="preserve">Invalid email / duplicate signup</t>
  </si>
  <si>
    <t xml:space="preserve">1. Submit invalid email
2. sign up twice</t>
  </si>
  <si>
    <t xml:space="preserve">Validation error; duplicate handled</t>
  </si>
  <si>
    <t xml:space="preserve">TC-US53-03</t>
  </si>
  <si>
    <t xml:space="preserve">Notification is sent when the item is actually restocked</t>
  </si>
  <si>
    <t xml:space="preserve">Restock triggers notification</t>
  </si>
  <si>
    <t xml:space="preserve">1. Restock Blue/XL in admin</t>
  </si>
  <si>
    <t xml:space="preserve">Email sent with link to Blue/XL PDP</t>
  </si>
  <si>
    <t xml:space="preserve">TC-US53-04</t>
  </si>
  <si>
    <t xml:space="preserve">Restock of different variant</t>
  </si>
  <si>
    <t xml:space="preserve">1. Restock Blue/L only</t>
  </si>
  <si>
    <t xml:space="preserve">No notification for Blue/XL subscribers</t>
  </si>
  <si>
    <t xml:space="preserve">TC-US54-01</t>
  </si>
  <si>
    <t xml:space="preserve">M10</t>
  </si>
  <si>
    <t xml:space="preserve">US-54</t>
  </si>
  <si>
    <t xml:space="preserve">Responsive design</t>
  </si>
  <si>
    <t xml:space="preserve">All key pages (home, PDP, cart, checkout) render correctly on common mobile, tablet, and desktop breakpoints</t>
  </si>
  <si>
    <t xml:space="preserve">Key pages at each breakpoint</t>
  </si>
  <si>
    <t xml:space="preserve">Device matrix: 360×640, 390×844, 768×1024, 1366×768, 1920×1080</t>
  </si>
  <si>
    <t xml:space="preserve">1. Open home, listing, PDP, cart, checkout at each breakpoint</t>
  </si>
  <si>
    <t xml:space="preserve">No horizontal scroll, overlap or cut-off content; images scale</t>
  </si>
  <si>
    <t xml:space="preserve">TC-US54-02</t>
  </si>
  <si>
    <t xml:space="preserve">Orientation change / browser zoom</t>
  </si>
  <si>
    <t xml:space="preserve">1. Rotate device mid-checkout
2. Zoom 200%</t>
  </si>
  <si>
    <t xml:space="preserve">Layout adapts; form data retained</t>
  </si>
  <si>
    <t xml:space="preserve">TC-US54-03</t>
  </si>
  <si>
    <t xml:space="preserve">Touch targets, menus, and forms are usable on small screens</t>
  </si>
  <si>
    <t xml:space="preserve">Touch usability</t>
  </si>
  <si>
    <t xml:space="preserve">1. Tap buttons, filters, size chips, form fields on 360px</t>
  </si>
  <si>
    <t xml:space="preserve">Targets ≥ 44×44 px; correct keyboard types (numeric for PIN/phone)</t>
  </si>
  <si>
    <t xml:space="preserve">TC-US54-04</t>
  </si>
  <si>
    <t xml:space="preserve">On-screen keyboard overlap</t>
  </si>
  <si>
    <t xml:space="preserve">1. Fill checkout form with on-screen keyboard</t>
  </si>
  <si>
    <t xml:space="preserve">Active field not hidden behind keyboard; sticky CTA not covering fields</t>
  </si>
  <si>
    <t xml:space="preserve">TC-US55-01</t>
  </si>
  <si>
    <t xml:space="preserve">US-55</t>
  </si>
  <si>
    <t xml:space="preserve">Page performance</t>
  </si>
  <si>
    <t xml:space="preserve">Homepage, listing, and PDP load within acceptable performance thresholds</t>
  </si>
  <si>
    <t xml:space="preserve">Page performance within thresholds</t>
  </si>
  <si>
    <t xml:space="preserve">Lighthouse/WebPageTest available; thresholds agreed (e.g. LCP ≤ 2.5 s)</t>
  </si>
  <si>
    <t xml:space="preserve">1. Run Lighthouse (mobile, 3 runs) on home, listing, PDP</t>
  </si>
  <si>
    <t xml:space="preserve">LCP ≤ 2.5 s, CLS ≤ 0.1, INP ≤ 200 ms (median)</t>
  </si>
  <si>
    <t xml:space="preserve">TC-US55-02</t>
  </si>
  <si>
    <t xml:space="preserve">Under concurrent load</t>
  </si>
  <si>
    <t xml:space="preserve">1. Run k6/JMeter spot-check (e.g. 50 users) on PDP and checkout</t>
  </si>
  <si>
    <t xml:space="preserve">Response times within threshold; error rate &lt; 1%</t>
  </si>
  <si>
    <t xml:space="preserve">TC-US55-03</t>
  </si>
  <si>
    <t xml:space="preserve">Image assets are optimized and do not block page rendering</t>
  </si>
  <si>
    <t xml:space="preserve">Image optimisation</t>
  </si>
  <si>
    <t xml:space="preserve">1. Inspect image formats/sizes and lazy loading</t>
  </si>
  <si>
    <t xml:space="preserve">Modern formats (WebP/AVIF), responsive sizes, below-fold lazy-loaded</t>
  </si>
  <si>
    <t xml:space="preserve">TC-US55-04</t>
  </si>
  <si>
    <t xml:space="preserve">Render-blocking resources</t>
  </si>
  <si>
    <t xml:space="preserve">1. Review Lighthouse opportunities</t>
  </si>
  <si>
    <t xml:space="preserve">No large render-blocking images; no image &gt; agreed size limit</t>
  </si>
  <si>
    <t xml:space="preserve">TC-US56-01</t>
  </si>
  <si>
    <t xml:space="preserve">US-56</t>
  </si>
  <si>
    <t xml:space="preserve">Cross-browser compatibility</t>
  </si>
  <si>
    <t xml:space="preserve">Core flows (browse, cart, checkout) are verified on each supported browser and its latest-1 version</t>
  </si>
  <si>
    <t xml:space="preserve">Core flow per browser</t>
  </si>
  <si>
    <t xml:space="preserve">Browsers: Chrome, Safari, Firefox, Edge — latest and latest-1</t>
  </si>
  <si>
    <t xml:space="preserve">1. Execute E2E-01 on each browser/version</t>
  </si>
  <si>
    <t xml:space="preserve">Flow completes on all 8 browser/version combinations</t>
  </si>
  <si>
    <t xml:space="preserve">TC-US56-02</t>
  </si>
  <si>
    <t xml:space="preserve">Unsupported / old browser</t>
  </si>
  <si>
    <t xml:space="preserve">1. Open site on unsupported browser version</t>
  </si>
  <si>
    <t xml:space="preserve">Graceful message or acceptable degraded experience; no blocking script errors</t>
  </si>
  <si>
    <t xml:space="preserve">TC-US56-03</t>
  </si>
  <si>
    <t xml:space="preserve">No layout-breaking or functional inconsistencies across browsers</t>
  </si>
  <si>
    <t xml:space="preserve">Visual consistency</t>
  </si>
  <si>
    <t xml:space="preserve">1. Compare screenshots of key pages across browsers</t>
  </si>
  <si>
    <t xml:space="preserve">No layout-breaking differences</t>
  </si>
  <si>
    <t xml:space="preserve">TC-US56-04</t>
  </si>
  <si>
    <t xml:space="preserve">Browser-specific features</t>
  </si>
  <si>
    <t xml:space="preserve">1. Check date pickers, autofill, sticky elements, Safari private mode storage</t>
  </si>
  <si>
    <t xml:space="preserve">Consistent behaviour; no functional breaks</t>
  </si>
  <si>
    <t xml:space="preserve">TC-US57-01</t>
  </si>
  <si>
    <t xml:space="preserve">US-57</t>
  </si>
  <si>
    <t xml:space="preserve">Accessibility</t>
  </si>
  <si>
    <t xml:space="preserve">All interactive elements are reachable and operable via keyboard alone</t>
  </si>
  <si>
    <t xml:space="preserve">Keyboard-only purchase</t>
  </si>
  <si>
    <t xml:space="preserve">axe DevTools, NVDA/VoiceOver, keyboard only</t>
  </si>
  <si>
    <t xml:space="preserve">1. Complete browse → cart → checkout using keyboard only</t>
  </si>
  <si>
    <t xml:space="preserve">All controls reachable in logical order; visible focus; modals trap and return focus</t>
  </si>
  <si>
    <t xml:space="preserve">TC-US57-02</t>
  </si>
  <si>
    <t xml:space="preserve">Keyboard traps</t>
  </si>
  <si>
    <t xml:space="preserve">1. Tab through carousel, filters, modals, payment iframe</t>
  </si>
  <si>
    <t xml:space="preserve">No keyboard trap; skip-to-content link available</t>
  </si>
  <si>
    <t xml:space="preserve">TC-US57-03</t>
  </si>
  <si>
    <t xml:space="preserve">Images have meaningful alt text; forms have associated labels</t>
  </si>
  <si>
    <t xml:space="preserve">Screen reader announcements</t>
  </si>
  <si>
    <t xml:space="preserve">1. Navigate PDP and checkout with NVDA/VoiceOver</t>
  </si>
  <si>
    <t xml:space="preserve">Product images have meaningful alt; form fields announce labels, errors announced</t>
  </si>
  <si>
    <t xml:space="preserve">TC-US57-04</t>
  </si>
  <si>
    <t xml:space="preserve">Missing labels / decorative images</t>
  </si>
  <si>
    <t xml:space="preserve">1. Run axe on key pages</t>
  </si>
  <si>
    <t xml:space="preserve">Zero critical/serious issues; decorative images have empty alt</t>
  </si>
  <si>
    <t xml:space="preserve">TC-US57-05</t>
  </si>
  <si>
    <t xml:space="preserve">Color contrast meets WCAG AA thresholds</t>
  </si>
  <si>
    <t xml:space="preserve">Contrast check</t>
  </si>
  <si>
    <t xml:space="preserve">1. Check text, buttons, links, price, badges</t>
  </si>
  <si>
    <t xml:space="preserve">Normal text ≥ 4.5:1; large text/UI ≥ 3:1</t>
  </si>
  <si>
    <t xml:space="preserve">TC-US57-06</t>
  </si>
  <si>
    <t xml:space="preserve">Disabled / error / placeholder states</t>
  </si>
  <si>
    <t xml:space="preserve">1. Check contrast of errors, placeholders, sale price on image</t>
  </si>
  <si>
    <t xml:space="preserve">Meets AA or has non-colour indicator</t>
  </si>
  <si>
    <t xml:space="preserve">TC-US58-01</t>
  </si>
  <si>
    <t xml:space="preserve">US-58</t>
  </si>
  <si>
    <t xml:space="preserve">Protection against XSS / SQLi / CSRF</t>
  </si>
  <si>
    <t xml:space="preserve">Input fields (search, forms, reviews) reject/sanitize script and injection payloads</t>
  </si>
  <si>
    <t xml:space="preserve">Stored/reflected XSS prevented</t>
  </si>
  <si>
    <t xml:space="preserve">OWASP ZAP/Burp; test accounts A and B</t>
  </si>
  <si>
    <t xml:space="preserve">1. Submit XSS payloads in profile name, address, review, search</t>
  </si>
  <si>
    <t xml:space="preserve">&lt;svg onload=alert(1)&gt;</t>
  </si>
  <si>
    <t xml:space="preserve">Payloads rendered as text on all pages, emails and admin</t>
  </si>
  <si>
    <t xml:space="preserve">TC-US58-02</t>
  </si>
  <si>
    <t xml:space="preserve">SQL / NoSQL / header injection</t>
  </si>
  <si>
    <t xml:space="preserve">1. Inject ' OR 1=1--, {"$gt":""}, CRLF in inputs and query params</t>
  </si>
  <si>
    <t xml:space="preserve">No errors, no data leakage; generic error handling</t>
  </si>
  <si>
    <t xml:space="preserve">TC-US58-03</t>
  </si>
  <si>
    <t xml:space="preserve">Sensitive actions require CSRF protection/re-authentication as applicable</t>
  </si>
  <si>
    <t xml:space="preserve">CSRF token enforced</t>
  </si>
  <si>
    <t xml:space="preserve">1. Inspect state-changing requests (place order, change password, delete address)</t>
  </si>
  <si>
    <t xml:space="preserve">Anti-CSRF token or SameSite cookies present</t>
  </si>
  <si>
    <t xml:space="preserve">TC-US58-04</t>
  </si>
  <si>
    <t xml:space="preserve">Cross-site forged request</t>
  </si>
  <si>
    <t xml:space="preserve">1. Replay request without/with invalid token from another origin</t>
  </si>
  <si>
    <t xml:space="preserve">Request rejected (403)</t>
  </si>
  <si>
    <t xml:space="preserve">TC-US58-05</t>
  </si>
  <si>
    <t xml:space="preserve">No sensitive data (tokens, passwords) is exposed in client-side storage or URLs</t>
  </si>
  <si>
    <t xml:space="preserve">Secure token storage</t>
  </si>
  <si>
    <t xml:space="preserve">1. Inspect cookies and storage</t>
  </si>
  <si>
    <t xml:space="preserve">Session cookies HttpOnly, Secure, SameSite; no passwords stored</t>
  </si>
  <si>
    <t xml:space="preserve">TC-US58-06</t>
  </si>
  <si>
    <t xml:space="preserve">Data in URLs / IDOR</t>
  </si>
  <si>
    <t xml:space="preserve">1. Check URLs and referer for tokens
2. Access account B's orders/addresses with A's session</t>
  </si>
  <si>
    <t xml:space="preserve">No tokens in URLs; IDOR attempts return 403/404</t>
  </si>
  <si>
    <t xml:space="preserve">TC-US59-01</t>
  </si>
  <si>
    <t xml:space="preserve">US-59</t>
  </si>
  <si>
    <t xml:space="preserve">Network interruption handling</t>
  </si>
  <si>
    <t xml:space="preserve">Loss of connectivity during checkout shows a clear error rather than a blank/broken state</t>
  </si>
  <si>
    <t xml:space="preserve">Offline indicator during checkout</t>
  </si>
  <si>
    <t xml:space="preserve">DevTools network throttling/offline mode</t>
  </si>
  <si>
    <t xml:space="preserve">1. Go offline at payment step and click Pay</t>
  </si>
  <si>
    <t xml:space="preserve">Clear "You're offline" / retry message; no blank page</t>
  </si>
  <si>
    <t xml:space="preserve">TC-US59-02</t>
  </si>
  <si>
    <t xml:space="preserve">Timeout from server</t>
  </si>
  <si>
    <t xml:space="preserve">1. Simulate 60 s API delay</t>
  </si>
  <si>
    <t xml:space="preserve">Timeout message with retry; no duplicate submission</t>
  </si>
  <si>
    <t xml:space="preserve">TC-US59-03</t>
  </si>
  <si>
    <t xml:space="preserve">Cart/session state is preserved or recoverable after reconnecting</t>
  </si>
  <si>
    <t xml:space="preserve">Recovery after reconnect</t>
  </si>
  <si>
    <t xml:space="preserve">1. Reconnect and retry</t>
  </si>
  <si>
    <t xml:space="preserve">Cart, address and selections intact; order placed once</t>
  </si>
  <si>
    <t xml:space="preserve">TC-US59-04</t>
  </si>
  <si>
    <t xml:space="preserve">Connection lost after payment captured</t>
  </si>
  <si>
    <t xml:space="preserve">1. Go offline right after gateway success</t>
  </si>
  <si>
    <t xml:space="preserve">On reconnect order status resolved (confirmed) via callback; no double charge</t>
  </si>
  <si>
    <t xml:space="preserve">TC-US60-01</t>
  </si>
  <si>
    <t xml:space="preserve">US-60</t>
  </si>
  <si>
    <t xml:space="preserve">Error pages (404 / 500)</t>
  </si>
  <si>
    <t xml:space="preserve">Invalid/broken URLs show a branded 404 page with navigation back to the site</t>
  </si>
  <si>
    <t xml:space="preserve">Branded 404</t>
  </si>
  <si>
    <t xml:space="preserve">Test environment available; user on the relevant page</t>
  </si>
  <si>
    <t xml:space="preserve">1. Open /xyz-not-found and a deleted product URL</t>
  </si>
  <si>
    <t xml:space="preserve">Branded 404 with header, search and home link; HTTP status 404</t>
  </si>
  <si>
    <t xml:space="preserve">TC-US60-02</t>
  </si>
  <si>
    <t xml:space="preserve">Malformed URLs</t>
  </si>
  <si>
    <t xml:space="preserve">1. Open URLs with encoded/special characters and very long path</t>
  </si>
  <si>
    <t xml:space="preserve">404/400 page handled; no stack trace</t>
  </si>
  <si>
    <t xml:space="preserve">TC-US60-03</t>
  </si>
  <si>
    <t xml:space="preserve">Server errors are caught and shown as a friendly message, not a raw stack trace</t>
  </si>
  <si>
    <t xml:space="preserve">Friendly 500 page</t>
  </si>
  <si>
    <t xml:space="preserve">1. Force server error (test hook)</t>
  </si>
  <si>
    <t xml:space="preserve">Friendly message with retry/home; HTTP 500; incident logged</t>
  </si>
  <si>
    <t xml:space="preserve">TC-US60-04</t>
  </si>
  <si>
    <t xml:space="preserve">No technical details leaked</t>
  </si>
  <si>
    <t xml:space="preserve">1. Inspect 500 response body and headers</t>
  </si>
  <si>
    <t xml:space="preserve">No stack trace, framework version or internal paths revealed</t>
  </si>
  <si>
    <t xml:space="preserve">E2E ID</t>
  </si>
  <si>
    <t xml:space="preserve">Journey</t>
  </si>
  <si>
    <t xml:space="preserve">Stories Covered</t>
  </si>
  <si>
    <t xml:space="preserve">Step</t>
  </si>
  <si>
    <t xml:space="preserve">Action</t>
  </si>
  <si>
    <t xml:space="preserve">E2E-01</t>
  </si>
  <si>
    <t xml:space="preserve">New customer: register, discover, buy with card and receive confirmation</t>
  </si>
  <si>
    <t xml:space="preserve">US-01, 02, 12, 14, 15, 17, 18, 19, 22, 25, 29, 30, 31, 32, 33, 34, 35, 36, 50</t>
  </si>
  <si>
    <t xml:space="preserve">Logged out; product P-1001 (Red/L in stock, price 1,499); coupon SAVE10 active; card sandbox</t>
  </si>
  <si>
    <t xml:space="preserve">New email qa.e2e01+&lt;ts&gt;@testmail.com; Password Qa@12345; Card 4111 1111 1111 1111, 12/30, 123; PIN 500081</t>
  </si>
  <si>
    <t xml:space="preserve">Open the homepage and click Register</t>
  </si>
  <si>
    <t xml:space="preserve">Registration form displayed with all mandatory fields</t>
  </si>
  <si>
    <t xml:space="preserve">Register with valid details</t>
  </si>
  <si>
    <t xml:space="preserve">Account created; user logged in (name in header) or redirected to login</t>
  </si>
  <si>
    <t xml:space="preserve">Search for "maxi dress"</t>
  </si>
  <si>
    <t xml:space="preserve">Relevant results listed; P-1001 present</t>
  </si>
  <si>
    <t xml:space="preserve">Apply filter Size L and Colour Red; sort Price Low-High; toggle List view</t>
  </si>
  <si>
    <t xml:space="preserve">Only Red/L products shown in ascending price; filter chips visible; layout switches without losing filters</t>
  </si>
  <si>
    <t xml:space="preserve">Open P-1001; verify details, size chart and recommended products</t>
  </si>
  <si>
    <t xml:space="preserve">Title, price, images, fabric and size chart correct; recommendations link to valid PDPs</t>
  </si>
  <si>
    <t xml:space="preserve">Select Red / L and click Add to Cart (qty 2)</t>
  </si>
  <si>
    <t xml:space="preserve">Header cart count = 2; mini-cart shows Red/L × 2</t>
  </si>
  <si>
    <t xml:space="preserve">Open cart; check delivery estimate for PIN 500081; apply coupon SAVE10</t>
  </si>
  <si>
    <t xml:space="preserve">Delivery cost/date shown; subtotal 2,998; discount 299.80; tax/shipping per rule; total matches oracle</t>
  </si>
  <si>
    <t xml:space="preserve">Proceed to checkout; add shipping address</t>
  </si>
  <si>
    <t xml:space="preserve">Address validated and selected</t>
  </si>
  <si>
    <t xml:space="preserve">Select Standard shipping</t>
  </si>
  <si>
    <t xml:space="preserve">Shipping cost and ETA shown; total recalculated</t>
  </si>
  <si>
    <t xml:space="preserve">Pay with test card</t>
  </si>
  <si>
    <t xml:space="preserve">Payment success; redirected to confirmation</t>
  </si>
  <si>
    <t xml:space="preserve">Verify confirmation page</t>
  </si>
  <si>
    <t xml:space="preserve">Order number, items, totals and address correct</t>
  </si>
  <si>
    <t xml:space="preserve">Check mailbox and My Orders</t>
  </si>
  <si>
    <t xml:space="preserve">Confirmation email received with matching details; order listed with status Placed/Confirmed</t>
  </si>
  <si>
    <t xml:space="preserve">E2E-02</t>
  </si>
  <si>
    <t xml:space="preserve">Guest checkout with UPI and order lookup, then account creation</t>
  </si>
  <si>
    <t xml:space="preserve">US-07, 25, 29, 32, 34, 36, 40</t>
  </si>
  <si>
    <t xml:space="preserve">Logged out; UPI sandbox</t>
  </si>
  <si>
    <t xml:space="preserve">guest.&lt;ts&gt;@testmail.com; VPA success@upi</t>
  </si>
  <si>
    <t xml:space="preserve">As guest add an in-stock product to cart</t>
  </si>
  <si>
    <t xml:space="preserve">Proceed to checkout and choose Checkout as guest</t>
  </si>
  <si>
    <t xml:space="preserve">Guest contact form shown; no login required</t>
  </si>
  <si>
    <t xml:space="preserve">Enter email, phone and address</t>
  </si>
  <si>
    <t xml:space="preserve">Validated and accepted</t>
  </si>
  <si>
    <t xml:space="preserve">Pay via UPI (success VPA)</t>
  </si>
  <si>
    <t xml:space="preserve">Payment success; confirmation page with order number</t>
  </si>
  <si>
    <t xml:space="preserve">Open Track Order; enter order number + email</t>
  </si>
  <si>
    <t xml:space="preserve">Click Create account on confirmation and set password</t>
  </si>
  <si>
    <t xml:space="preserve">Account created; guest order visible in Order History</t>
  </si>
  <si>
    <t xml:space="preserve">E2E-03</t>
  </si>
  <si>
    <t xml:space="preserve">Returning customer: login, wishlist to cart, saved address and card, gift card split</t>
  </si>
  <si>
    <t xml:space="preserve">US-02, 24, 28, 39, 47, 48, 49, 34, 36</t>
  </si>
  <si>
    <t xml:space="preserve">Registered user with saved address, saved card and wishlist item Black/M; gift card GC-1000</t>
  </si>
  <si>
    <t xml:space="preserve">Order value ~1,500</t>
  </si>
  <si>
    <t xml:space="preserve">Log in with valid credentials</t>
  </si>
  <si>
    <t xml:space="preserve">Logged in; previous cart items restored</t>
  </si>
  <si>
    <t xml:space="preserve">Open Wishlist; Move Black/M to cart</t>
  </si>
  <si>
    <t xml:space="preserve">Cart contains Black/M; wishlist updated</t>
  </si>
  <si>
    <t xml:space="preserve">Proceed to checkout</t>
  </si>
  <si>
    <t xml:space="preserve">Default saved address pre-selected</t>
  </si>
  <si>
    <t xml:space="preserve">Apply gift card GC-1000</t>
  </si>
  <si>
    <t xml:space="preserve">1,000 deducted; remaining payable ~500</t>
  </si>
  <si>
    <t xml:space="preserve">Pay remainder with saved card (CVV/OTP)</t>
  </si>
  <si>
    <t xml:space="preserve">Card shown masked; payment success</t>
  </si>
  <si>
    <t xml:space="preserve">Verify confirmation and invoice</t>
  </si>
  <si>
    <t xml:space="preserve">Split payment shown correctly; gift card balance now 0</t>
  </si>
  <si>
    <t xml:space="preserve">E2E-04</t>
  </si>
  <si>
    <t xml:space="preserve">Social login purchase journey</t>
  </si>
  <si>
    <t xml:space="preserve">US-03, 12, 25, 34, 36</t>
  </si>
  <si>
    <t xml:space="preserve">Google test account not registered on site</t>
  </si>
  <si>
    <t xml:space="preserve">Google test user</t>
  </si>
  <si>
    <t xml:space="preserve">Click Continue with Google and approve consent</t>
  </si>
  <si>
    <t xml:space="preserve">Account auto-created; logged in with correct email</t>
  </si>
  <si>
    <t xml:space="preserve">Search, add product, checkout with card</t>
  </si>
  <si>
    <t xml:space="preserve">Order placed successfully</t>
  </si>
  <si>
    <t xml:space="preserve">Log out and log in with Google again</t>
  </si>
  <si>
    <t xml:space="preserve">Same account; order visible in history</t>
  </si>
  <si>
    <t xml:space="preserve">E2E-05</t>
  </si>
  <si>
    <t xml:space="preserve">Password reset, then secure purchase</t>
  </si>
  <si>
    <t xml:space="preserve">US-04, 02, 05, 06</t>
  </si>
  <si>
    <t xml:space="preserve">Registered user who forgot password</t>
  </si>
  <si>
    <t xml:space="preserve">New password Reset@2026</t>
  </si>
  <si>
    <t xml:space="preserve">Request password reset for registered email</t>
  </si>
  <si>
    <t xml:space="preserve">Neutral message; reset email received</t>
  </si>
  <si>
    <t xml:space="preserve">Open link and set strong new password</t>
  </si>
  <si>
    <t xml:space="preserve">Password updated</t>
  </si>
  <si>
    <t xml:space="preserve">Log in with old password</t>
  </si>
  <si>
    <t xml:space="preserve">Rejected with generic error</t>
  </si>
  <si>
    <t xml:space="preserve">Log in with new password and add item to cart</t>
  </si>
  <si>
    <t xml:space="preserve">Login succeeds; cart works</t>
  </si>
  <si>
    <t xml:space="preserve">Log out and press browser Back</t>
  </si>
  <si>
    <t xml:space="preserve">Authenticated pages not shown; redirected to login</t>
  </si>
  <si>
    <t xml:space="preserve">E2E-06</t>
  </si>
  <si>
    <t xml:space="preserve">Payment failure then successful retry without losing cart</t>
  </si>
  <si>
    <t xml:space="preserve">US-34, 35, 37, 29</t>
  </si>
  <si>
    <t xml:space="preserve">Logged in; cart with 2 items; decline test card</t>
  </si>
  <si>
    <t xml:space="preserve">Decline card; valid card 4111…</t>
  </si>
  <si>
    <t xml:space="preserve">Proceed to payment and pay with decline card</t>
  </si>
  <si>
    <t xml:space="preserve">Clear failure message; no order created</t>
  </si>
  <si>
    <t xml:space="preserve">Verify cart and address</t>
  </si>
  <si>
    <t xml:space="preserve">Unchanged</t>
  </si>
  <si>
    <t xml:space="preserve">Retry with valid card</t>
  </si>
  <si>
    <t xml:space="preserve">Payment success; exactly one order</t>
  </si>
  <si>
    <t xml:space="preserve">Check gateway sandbox and order history</t>
  </si>
  <si>
    <t xml:space="preserve">One successful charge, one declined attempt; one order</t>
  </si>
  <si>
    <t xml:space="preserve">E2E-07</t>
  </si>
  <si>
    <t xml:space="preserve">Duplicate-order prevention under double-click and network retry</t>
  </si>
  <si>
    <t xml:space="preserve">US-37, 36, 59</t>
  </si>
  <si>
    <t xml:space="preserve">Logged in; ready at review step; DevTools</t>
  </si>
  <si>
    <t xml:space="preserve">Slow 3G throttle</t>
  </si>
  <si>
    <t xml:space="preserve">Throttle network to Slow 3G</t>
  </si>
  <si>
    <t xml:space="preserve">Double-click Place Order rapidly</t>
  </si>
  <si>
    <t xml:space="preserve">Button disabled after first click with loader</t>
  </si>
  <si>
    <t xml:space="preserve">Refresh the confirmation page twice</t>
  </si>
  <si>
    <t xml:space="preserve">Same order displayed; no new order</t>
  </si>
  <si>
    <t xml:space="preserve">Replay place-order request via DevTools/Postman</t>
  </si>
  <si>
    <t xml:space="preserve">Rejected or returns the same order (idempotent)</t>
  </si>
  <si>
    <t xml:space="preserve">Check admin and gateway</t>
  </si>
  <si>
    <t xml:space="preserve">Exactly one order and one charge</t>
  </si>
  <si>
    <t xml:space="preserve">E2E-08</t>
  </si>
  <si>
    <t xml:space="preserve">Last-unit race condition between two customers</t>
  </si>
  <si>
    <t xml:space="preserve">US-20, 26, 37</t>
  </si>
  <si>
    <t xml:space="preserve">Variant with stock = 1; users A and B in separate browsers</t>
  </si>
  <si>
    <t xml:space="preserve">Stock 1</t>
  </si>
  <si>
    <t xml:space="preserve">Users A and B add the last unit to cart</t>
  </si>
  <si>
    <t xml:space="preserve">Both carts accept (or second shows low stock)</t>
  </si>
  <si>
    <t xml:space="preserve">Both proceed to payment simultaneously</t>
  </si>
  <si>
    <t xml:space="preserve">Only one payment captured</t>
  </si>
  <si>
    <t xml:space="preserve">Observe result for the second user</t>
  </si>
  <si>
    <t xml:space="preserve">Clear out-of-stock message; no charge (or auto-refund per policy)</t>
  </si>
  <si>
    <t xml:space="preserve">Check inventory</t>
  </si>
  <si>
    <t xml:space="preserve">Stock = 0, never negative; one order</t>
  </si>
  <si>
    <t xml:space="preserve">E2E-09</t>
  </si>
  <si>
    <t xml:space="preserve">Cancel an order before shipping and receive refund</t>
  </si>
  <si>
    <t xml:space="preserve">US-40, 42, 44, 50</t>
  </si>
  <si>
    <t xml:space="preserve">Prepaid order in Placed status</t>
  </si>
  <si>
    <t xml:space="preserve">Open My Orders and select the order</t>
  </si>
  <si>
    <t xml:space="preserve">Cancel option visible</t>
  </si>
  <si>
    <t xml:space="preserve">Cancel with reason</t>
  </si>
  <si>
    <t xml:space="preserve">Status Cancelled; confirmation email</t>
  </si>
  <si>
    <t xml:space="preserve">Check refund status</t>
  </si>
  <si>
    <t xml:space="preserve">Refund initiated for full amount to original method</t>
  </si>
  <si>
    <t xml:space="preserve">Try to cancel again / cancel a shipped order</t>
  </si>
  <si>
    <t xml:space="preserve">Not allowed</t>
  </si>
  <si>
    <t xml:space="preserve">E2E-10</t>
  </si>
  <si>
    <t xml:space="preserve">Ship and track an order, then return an item, track refund and download invoice</t>
  </si>
  <si>
    <t xml:space="preserve">US-40, 41, 43, 44, 45, 50</t>
  </si>
  <si>
    <t xml:space="preserve">Prepaid order (2 items, coupon applied) ready to ship; courier and refund stubs</t>
  </si>
  <si>
    <t xml:space="preserve">2 MB JPG photo</t>
  </si>
  <si>
    <t xml:space="preserve">Move order to Shipped and open tracking; push courier events to Delivered</t>
  </si>
  <si>
    <t xml:space="preserve">Tracking link valid; timeline updates to Delivered</t>
  </si>
  <si>
    <t xml:space="preserve">Open delivered order; click Return on item 1</t>
  </si>
  <si>
    <t xml:space="preserve">Return form with reasons</t>
  </si>
  <si>
    <t xml:space="preserve">Select reason, upload photo, submit</t>
  </si>
  <si>
    <t xml:space="preserve">Return request ID created</t>
  </si>
  <si>
    <t xml:space="preserve">Progress return through pickup and receipt</t>
  </si>
  <si>
    <t xml:space="preserve">Status timeline updates; notifications sent</t>
  </si>
  <si>
    <t xml:space="preserve">Verify refund amount and status</t>
  </si>
  <si>
    <t xml:space="preserve">Amount per policy (proportionate discount); Initiated → Completed</t>
  </si>
  <si>
    <t xml:space="preserve">Download invoice / credit note</t>
  </si>
  <si>
    <t xml:space="preserve">Valid PDF reflecting return</t>
  </si>
  <si>
    <t xml:space="preserve">E2E-11</t>
  </si>
  <si>
    <t xml:space="preserve">Exchange a delivered item for a different size</t>
  </si>
  <si>
    <t xml:space="preserve">US-43, 19, 50</t>
  </si>
  <si>
    <t xml:space="preserve">Delivered order within window; alternative size in stock</t>
  </si>
  <si>
    <t xml:space="preserve">Request exchange selecting new size</t>
  </si>
  <si>
    <t xml:space="preserve">Only in-stock sizes selectable</t>
  </si>
  <si>
    <t xml:space="preserve">Complete pickup and receipt</t>
  </si>
  <si>
    <t xml:space="preserve">Status updates</t>
  </si>
  <si>
    <t xml:space="preserve">Verify replacement order</t>
  </si>
  <si>
    <t xml:space="preserve">New order/shipment for new size at no extra charge</t>
  </si>
  <si>
    <t xml:space="preserve">E2E-12</t>
  </si>
  <si>
    <t xml:space="preserve">Coupon rules across the purchase</t>
  </si>
  <si>
    <t xml:space="preserve">US-30, 29, 26, 27</t>
  </si>
  <si>
    <t xml:space="preserve">Coupons FLAT200 (min 1,500), WOMEN15, ONCE50</t>
  </si>
  <si>
    <t xml:space="preserve">Add items totalling 1,600 and apply FLAT200</t>
  </si>
  <si>
    <t xml:space="preserve">Discount 200 applied</t>
  </si>
  <si>
    <t xml:space="preserve">Reduce quantity so subtotal is 1,400</t>
  </si>
  <si>
    <t xml:space="preserve">Coupon removed/invalidated with message; total correct</t>
  </si>
  <si>
    <t xml:space="preserve">Apply WOMEN15 to men's-only cart</t>
  </si>
  <si>
    <t xml:space="preserve">Rejected with reason</t>
  </si>
  <si>
    <t xml:space="preserve">Place order with ONCE50; try ONCE50 on next order</t>
  </si>
  <si>
    <t xml:space="preserve">Second use rejected</t>
  </si>
  <si>
    <t xml:space="preserve">E2E-13</t>
  </si>
  <si>
    <t xml:space="preserve">Cart persistence and guest-to-account merge</t>
  </si>
  <si>
    <t xml:space="preserve">US-28, 25, 02</t>
  </si>
  <si>
    <t xml:space="preserve">Registered user with item B in saved cart</t>
  </si>
  <si>
    <t xml:space="preserve">As guest add item A</t>
  </si>
  <si>
    <t xml:space="preserve">Cart count 1</t>
  </si>
  <si>
    <t xml:space="preserve">Log in</t>
  </si>
  <si>
    <t xml:space="preserve">Cart contains A and B, no duplicates</t>
  </si>
  <si>
    <t xml:space="preserve">Log out; log in on another browser</t>
  </si>
  <si>
    <t xml:space="preserve">Same cart contents</t>
  </si>
  <si>
    <t xml:space="preserve">E2E-14</t>
  </si>
  <si>
    <t xml:space="preserve">Session timeout during checkout and recovery</t>
  </si>
  <si>
    <t xml:space="preserve">US-06, 28, 32</t>
  </si>
  <si>
    <t xml:space="preserve">Logged in; checkout at address step</t>
  </si>
  <si>
    <t xml:space="preserve">Idle beyond timeout</t>
  </si>
  <si>
    <t xml:space="preserve">Stay idle beyond session timeout</t>
  </si>
  <si>
    <t xml:space="preserve">Click Continue</t>
  </si>
  <si>
    <t xml:space="preserve">Session expired; redirected to login</t>
  </si>
  <si>
    <t xml:space="preserve">Log in again</t>
  </si>
  <si>
    <t xml:space="preserve">Returned to checkout/cart with items retained</t>
  </si>
  <si>
    <t xml:space="preserve">E2E-15</t>
  </si>
  <si>
    <t xml:space="preserve">Network loss during payment and recovery</t>
  </si>
  <si>
    <t xml:space="preserve">US-59, 34, 36</t>
  </si>
  <si>
    <t xml:space="preserve">Checkout at payment step</t>
  </si>
  <si>
    <t xml:space="preserve">DevTools Offline</t>
  </si>
  <si>
    <t xml:space="preserve">Switch DevTools to Offline and click Pay</t>
  </si>
  <si>
    <t xml:space="preserve">Clear offline message; no blank page</t>
  </si>
  <si>
    <t xml:space="preserve">Reconnect and retry</t>
  </si>
  <si>
    <t xml:space="preserve">Payment succeeds; one order</t>
  </si>
  <si>
    <t xml:space="preserve">Repeat with offline right after gateway success</t>
  </si>
  <si>
    <t xml:space="preserve">On reconnect order confirmed once; no double charge</t>
  </si>
  <si>
    <t xml:space="preserve">E2E-16</t>
  </si>
  <si>
    <t xml:space="preserve">Out-of-stock notify-me to restock purchase</t>
  </si>
  <si>
    <t xml:space="preserve">US-20, 53, 19, 25</t>
  </si>
  <si>
    <t xml:space="preserve">Variant Blue/XL out of stock</t>
  </si>
  <si>
    <t xml:space="preserve">notify.&lt;ts&gt;@testmail.com</t>
  </si>
  <si>
    <t xml:space="preserve">Select Blue/XL on PDP</t>
  </si>
  <si>
    <t xml:space="preserve">Add to Cart disabled; Notify me shown</t>
  </si>
  <si>
    <t xml:space="preserve">Subscribe with email</t>
  </si>
  <si>
    <t xml:space="preserve">Confirmation shown</t>
  </si>
  <si>
    <t xml:space="preserve">Restock Blue/XL in admin</t>
  </si>
  <si>
    <t xml:space="preserve">Notification email received with PDP link</t>
  </si>
  <si>
    <t xml:space="preserve">Open link and buy</t>
  </si>
  <si>
    <t xml:space="preserve">Variant pre-selected; purchase completes</t>
  </si>
  <si>
    <t xml:space="preserve">E2E-17</t>
  </si>
  <si>
    <t xml:space="preserve">Account maintenance journey</t>
  </si>
  <si>
    <t xml:space="preserve">US-46, 47, 48, 05</t>
  </si>
  <si>
    <t xml:space="preserve">Logged-in user</t>
  </si>
  <si>
    <t xml:space="preserve">Saved and persisted</t>
  </si>
  <si>
    <t xml:space="preserve">Success; notification email</t>
  </si>
  <si>
    <t xml:space="preserve">Add new address and set as default</t>
  </si>
  <si>
    <t xml:space="preserve">Pre-selected at next checkout</t>
  </si>
  <si>
    <t xml:space="preserve">Remove a saved card</t>
  </si>
  <si>
    <t xml:space="preserve">No longer listed or usable</t>
  </si>
  <si>
    <t xml:space="preserve">Log out</t>
  </si>
  <si>
    <t xml:space="preserve">Session cleared</t>
  </si>
  <si>
    <t xml:space="preserve">E2E-18</t>
  </si>
  <si>
    <t xml:space="preserve">Mobile web full purchase on a real device</t>
  </si>
  <si>
    <t xml:space="preserve">US-54, 09, 23, 25, 34, 36</t>
  </si>
  <si>
    <t xml:space="preserve">Android (Chrome) and iPhone (Safari) real devices</t>
  </si>
  <si>
    <t xml:space="preserve">Open site; use hamburger menu to a category</t>
  </si>
  <si>
    <t xml:space="preserve">Menu opens/closes correctly</t>
  </si>
  <si>
    <t xml:space="preserve">Filter and open PDP; pinch-zoom image</t>
  </si>
  <si>
    <t xml:space="preserve">Usable filters; zoom works</t>
  </si>
  <si>
    <t xml:space="preserve">Add to cart and checkout with numeric keyboards for PIN/phone</t>
  </si>
  <si>
    <t xml:space="preserve">Fields usable; not hidden by keyboard</t>
  </si>
  <si>
    <t xml:space="preserve">Pay with UPI/card</t>
  </si>
  <si>
    <t xml:space="preserve">Order placed; confirmation readable on mobile</t>
  </si>
  <si>
    <t xml:space="preserve">E2E-19</t>
  </si>
  <si>
    <t xml:space="preserve">Keyboard-only and screen-reader purchase</t>
  </si>
  <si>
    <t xml:space="preserve">US-57, 09, 19, 32</t>
  </si>
  <si>
    <t xml:space="preserve">NVDA + Chrome; VoiceOver + Safari</t>
  </si>
  <si>
    <t xml:space="preserve">Navigate menu, filters and PDP with keyboard</t>
  </si>
  <si>
    <t xml:space="preserve">All controls reachable with visible focus</t>
  </si>
  <si>
    <t xml:space="preserve">Select variant and add to cart</t>
  </si>
  <si>
    <t xml:space="preserve">State changes announced</t>
  </si>
  <si>
    <t xml:space="preserve">Complete checkout form</t>
  </si>
  <si>
    <t xml:space="preserve">Labels and errors announced</t>
  </si>
  <si>
    <t xml:space="preserve">Place order</t>
  </si>
  <si>
    <t xml:space="preserve">Confirmation announced; order placed</t>
  </si>
  <si>
    <t xml:space="preserve">E2E-20</t>
  </si>
  <si>
    <t xml:space="preserve">Cross-browser core purchase flow</t>
  </si>
  <si>
    <t xml:space="preserve">US-56, 12, 25, 34, 36</t>
  </si>
  <si>
    <t xml:space="preserve">Chrome, Edge, Firefox, Safari (latest and latest-1)</t>
  </si>
  <si>
    <t xml:space="preserve">Execute E2E-01 steps 3–12 on each browser/version</t>
  </si>
  <si>
    <t xml:space="preserve">Flow completes identically on all 8 combinations</t>
  </si>
  <si>
    <t xml:space="preserve">Compare layout of home, PDP, cart, checkout</t>
  </si>
  <si>
    <t xml:space="preserve">E2E-21</t>
  </si>
  <si>
    <t xml:space="preserve">Security sweep across the customer journey</t>
  </si>
  <si>
    <t xml:space="preserve">US-38, 58, 12, 21, 40, 48</t>
  </si>
  <si>
    <t xml:space="preserve">ZAP/Burp; accounts A and B</t>
  </si>
  <si>
    <t xml:space="preserve">XSS/SQLi payload list</t>
  </si>
  <si>
    <t xml:space="preserve">Verify HTTPS/certificate on all pages</t>
  </si>
  <si>
    <t xml:space="preserve">HTTPS everywhere; HSTS present</t>
  </si>
  <si>
    <t xml:space="preserve">Enter XSS/SQLi payloads in search, review, profile and address</t>
  </si>
  <si>
    <t xml:space="preserve">No execution; no errors leaked</t>
  </si>
  <si>
    <t xml:space="preserve">Capture card payment traffic</t>
  </si>
  <si>
    <t xml:space="preserve">No PAN/CVV in URLs, logs or storage</t>
  </si>
  <si>
    <t xml:space="preserve">With A's session access B's orders, addresses, invoices</t>
  </si>
  <si>
    <t xml:space="preserve">403/404 for all</t>
  </si>
  <si>
    <t xml:space="preserve">Replay state-changing requests without CSRF token</t>
  </si>
  <si>
    <t xml:space="preserve">Rejected</t>
  </si>
  <si>
    <t xml:space="preserve">E2E-22</t>
  </si>
  <si>
    <t xml:space="preserve">Navigation, content, newsletter and error-page journey</t>
  </si>
  <si>
    <t xml:space="preserve">US-08, 09, 10, 11, 51, 60</t>
  </si>
  <si>
    <t xml:space="preserve">Use homepage carousel and CTAs</t>
  </si>
  <si>
    <t xml:space="preserve">Correct destinations</t>
  </si>
  <si>
    <t xml:space="preserve">Navigate category → subcategory → PDP via breadcrumbs</t>
  </si>
  <si>
    <t xml:space="preserve">Breadcrumbs accurate and clickable</t>
  </si>
  <si>
    <t xml:space="preserve">Open each footer policy link</t>
  </si>
  <si>
    <t xml:space="preserve">Correct pages load</t>
  </si>
  <si>
    <t xml:space="preserve">Subscribe to newsletter from footer, then unsubscribe via email link</t>
  </si>
  <si>
    <t xml:space="preserve">Confirmation email received; unsubscribe stops further emails</t>
  </si>
  <si>
    <t xml:space="preserve">Open invalid URL and trigger test 500</t>
  </si>
  <si>
    <t xml:space="preserve">Branded 404 and friendly 500; no stack trace</t>
  </si>
  <si>
    <t xml:space="preserve">E2E-23</t>
  </si>
  <si>
    <t xml:space="preserve">Performance spot-check along the funnel</t>
  </si>
  <si>
    <t xml:space="preserve">US-55, 13, 16</t>
  </si>
  <si>
    <t xml:space="preserve">Lighthouse; k6/JMeter</t>
  </si>
  <si>
    <t xml:space="preserve">50 concurrent virtual users</t>
  </si>
  <si>
    <t xml:space="preserve">Run Lighthouse on home, listing, PDP</t>
  </si>
  <si>
    <t xml:space="preserve">Within agreed thresholds</t>
  </si>
  <si>
    <t xml:space="preserve">Type in search and measure autocomplete latency</t>
  </si>
  <si>
    <t xml:space="preserve">Suggestions within ~300 ms</t>
  </si>
  <si>
    <t xml:space="preserve">Scroll/paginate listing to page 5</t>
  </si>
  <si>
    <t xml:space="preserve">Load time acceptable; no duplicates</t>
  </si>
  <si>
    <t xml:space="preserve">Run concurrent-user spot-check on PDP and checkout</t>
  </si>
  <si>
    <t xml:space="preserve">E2E-24</t>
  </si>
  <si>
    <t xml:space="preserve">Sale pricing through to invoice</t>
  </si>
  <si>
    <t xml:space="preserve">US-52, 29, 45</t>
  </si>
  <si>
    <t xml:space="preserve">Sale item MRP 2,000, sale 1,500</t>
  </si>
  <si>
    <t xml:space="preserve">View sale item on listing and PDP</t>
  </si>
  <si>
    <t xml:space="preserve">Strikethrough 2,000, price 1,500, 25% off, Sale badge</t>
  </si>
  <si>
    <t xml:space="preserve">Add to cart and checkout</t>
  </si>
  <si>
    <t xml:space="preserve">Cart and payment use 1,500</t>
  </si>
  <si>
    <t xml:space="preserve">Download invoice</t>
  </si>
  <si>
    <t xml:space="preserve">Invoice shows correct price, discount and tax</t>
  </si>
  <si>
    <t xml:space="preserve">Steps</t>
  </si>
  <si>
    <t xml:space="preserve">Passed</t>
  </si>
  <si>
    <t xml:space="preserve">Failed</t>
  </si>
  <si>
    <t xml:space="preserve">Procedure Status</t>
  </si>
  <si>
    <t xml:space="preserve">Title</t>
  </si>
  <si>
    <t xml:space="preserve">Acceptance Criteria</t>
  </si>
  <si>
    <t xml:space="preserve">First TC</t>
  </si>
  <si>
    <t xml:space="preserve">Last TC</t>
  </si>
  <si>
    <t xml:space="preserve">Story Status</t>
  </si>
  <si>
    <t xml:space="preserve">E2E-01, E2E-03, E2E-05, E2E-13</t>
  </si>
  <si>
    <t xml:space="preserve">E2E-05, E2E-17</t>
  </si>
  <si>
    <t xml:space="preserve">E2E-05, E2E-14</t>
  </si>
  <si>
    <t xml:space="preserve">E2E-18, E2E-19, E2E-22</t>
  </si>
  <si>
    <t xml:space="preserve">E2E-01, E2E-04, E2E-20, E2E-21</t>
  </si>
  <si>
    <t xml:space="preserve">E2E-01, E2E-11, E2E-16, E2E-19</t>
  </si>
  <si>
    <t xml:space="preserve">E2E-08, E2E-16</t>
  </si>
  <si>
    <t xml:space="preserve">E2E-01, E2E-02, E2E-04, E2E-13, E2E-16, E2E-18, E2E-20</t>
  </si>
  <si>
    <t xml:space="preserve">E2E-08, E2E-12</t>
  </si>
  <si>
    <t xml:space="preserve">E2E-03, E2E-13, E2E-14</t>
  </si>
  <si>
    <t xml:space="preserve">E2E-01, E2E-02, E2E-06, E2E-12, E2E-24</t>
  </si>
  <si>
    <t xml:space="preserve">E2E-01, E2E-12</t>
  </si>
  <si>
    <t xml:space="preserve">E2E-01, E2E-02, E2E-14, E2E-19</t>
  </si>
  <si>
    <t xml:space="preserve">E2E-01, E2E-02, E2E-03, E2E-04, E2E-06, E2E-15, E2E-18, E2E-20</t>
  </si>
  <si>
    <t xml:space="preserve">E2E-01, E2E-06</t>
  </si>
  <si>
    <t xml:space="preserve">E2E-01, E2E-02, E2E-03, E2E-04, E2E-07, E2E-15, E2E-18, E2E-20</t>
  </si>
  <si>
    <t xml:space="preserve">E2E-06, E2E-07, E2E-08</t>
  </si>
  <si>
    <t xml:space="preserve">E2E-02, E2E-09, E2E-10, E2E-21</t>
  </si>
  <si>
    <t xml:space="preserve">E2E-10, E2E-11</t>
  </si>
  <si>
    <t xml:space="preserve">E2E-09, E2E-10</t>
  </si>
  <si>
    <t xml:space="preserve">E2E-10, E2E-24</t>
  </si>
  <si>
    <t xml:space="preserve">E2E-03, E2E-17</t>
  </si>
  <si>
    <t xml:space="preserve">E2E-03, E2E-17, E2E-21</t>
  </si>
  <si>
    <t xml:space="preserve">E2E-01, E2E-09, E2E-10, E2E-11</t>
  </si>
  <si>
    <t xml:space="preserve">E2E-07, E2E-15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</si>
</sst>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A66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7D6"/>
        <bgColor rgb="FFFFFFFF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2"/>
      </left>
      <right style="thin">
        <color rgb="FFB8C4D2"/>
      </right>
      <top style="thin">
        <color rgb="FFB8C4D2"/>
      </top>
      <bottom style="thin">
        <color rgb="FFB8C4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4D2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A667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3" t="s">
        <v>9</v>
      </c>
      <c r="B7" s="2"/>
    </row>
    <row r="8" customFormat="false" ht="15" hidden="false" customHeight="false" outlineLevel="0" collapsed="false">
      <c r="A8" s="3" t="s">
        <v>10</v>
      </c>
      <c r="B8" s="2" t="s">
        <v>11</v>
      </c>
    </row>
    <row r="9" customFormat="false" ht="1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3" t="s">
        <v>14</v>
      </c>
      <c r="B10" s="2" t="s">
        <v>15</v>
      </c>
    </row>
    <row r="11" customFormat="false" ht="15" hidden="false" customHeight="false" outlineLevel="0" collapsed="false">
      <c r="A11" s="3" t="s">
        <v>16</v>
      </c>
      <c r="B11" s="2" t="s">
        <v>17</v>
      </c>
    </row>
    <row r="12" customFormat="false" ht="15" hidden="false" customHeight="false" outlineLevel="0" collapsed="false">
      <c r="A12" s="3" t="s">
        <v>18</v>
      </c>
      <c r="B12" s="2" t="s">
        <v>19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3" t="s">
        <v>20</v>
      </c>
      <c r="B14" s="2"/>
    </row>
    <row r="15" customFormat="false" ht="23.85" hidden="false" customHeight="false" outlineLevel="0" collapsed="false">
      <c r="A15" s="3" t="s">
        <v>21</v>
      </c>
      <c r="B15" s="4" t="s">
        <v>22</v>
      </c>
    </row>
    <row r="16" customFormat="false" ht="15" hidden="false" customHeight="false" outlineLevel="0" collapsed="false">
      <c r="A16" s="3" t="s">
        <v>23</v>
      </c>
      <c r="B16" s="2" t="s">
        <v>24</v>
      </c>
    </row>
    <row r="17" customFormat="false" ht="15" hidden="false" customHeight="false" outlineLevel="0" collapsed="false">
      <c r="A17" s="3" t="s">
        <v>25</v>
      </c>
      <c r="B17" s="2" t="s">
        <v>26</v>
      </c>
    </row>
    <row r="18" customFormat="false" ht="15" hidden="false" customHeight="false" outlineLevel="0" collapsed="false">
      <c r="A18" s="3" t="s">
        <v>27</v>
      </c>
      <c r="B18" s="2" t="s">
        <v>28</v>
      </c>
    </row>
    <row r="19" customFormat="false" ht="23.85" hidden="false" customHeight="false" outlineLevel="0" collapsed="false">
      <c r="A19" s="3" t="s">
        <v>29</v>
      </c>
      <c r="B19" s="2" t="s">
        <v>30</v>
      </c>
    </row>
    <row r="20" customFormat="false" ht="23.85" hidden="false" customHeight="false" outlineLevel="0" collapsed="false">
      <c r="A20" s="3" t="s">
        <v>31</v>
      </c>
      <c r="B20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2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5" t="s">
        <v>34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  <c r="H4" s="6" t="s">
        <v>42</v>
      </c>
    </row>
    <row r="5" customFormat="false" ht="15" hidden="false" customHeight="false" outlineLevel="0" collapsed="false">
      <c r="A5" s="7" t="s">
        <v>43</v>
      </c>
      <c r="B5" s="7" t="n">
        <f aca="false">COUNTIF('Test Cases'!$B$2:$B$291,"M01")</f>
        <v>40</v>
      </c>
      <c r="C5" s="7" t="n">
        <f aca="false">COUNTIFS('Test Cases'!$B$2:$B$291,"M01",'Test Cases'!$O$2:$O$291,"Pass")</f>
        <v>1</v>
      </c>
      <c r="D5" s="7" t="n">
        <f aca="false">COUNTIFS('Test Cases'!$B$2:$B$291,"M01",'Test Cases'!$O$2:$O$291,"Fail")</f>
        <v>0</v>
      </c>
      <c r="E5" s="7" t="n">
        <f aca="false">COUNTIFS('Test Cases'!$B$2:$B$291,"M01",'Test Cases'!$O$2:$O$291,"Blocked")</f>
        <v>0</v>
      </c>
      <c r="F5" s="7" t="n">
        <f aca="false">COUNTIFS('Test Cases'!$B$2:$B$291,"M01",'Test Cases'!$O$2:$O$291,"Not Run")</f>
        <v>39</v>
      </c>
      <c r="G5" s="7" t="n">
        <f aca="false">COUNTIFS('Test Cases'!$B$2:$B$291,"M01",'Test Cases'!$O$2:$O$291,"Deferred")</f>
        <v>0</v>
      </c>
      <c r="H5" s="8" t="n">
        <f aca="false">IF(B5=0,0,C5/B5)</f>
        <v>0.025</v>
      </c>
    </row>
    <row r="6" customFormat="false" ht="15" hidden="false" customHeight="false" outlineLevel="0" collapsed="false">
      <c r="A6" s="7" t="s">
        <v>44</v>
      </c>
      <c r="B6" s="7" t="n">
        <f aca="false">COUNTIF('Test Cases'!$B$2:$B$291,"M02")</f>
        <v>20</v>
      </c>
      <c r="C6" s="7" t="n">
        <f aca="false">COUNTIFS('Test Cases'!$B$2:$B$291,"M02",'Test Cases'!$O$2:$O$291,"Pass")</f>
        <v>0</v>
      </c>
      <c r="D6" s="7" t="n">
        <f aca="false">COUNTIFS('Test Cases'!$B$2:$B$291,"M02",'Test Cases'!$O$2:$O$291,"Fail")</f>
        <v>0</v>
      </c>
      <c r="E6" s="7" t="n">
        <f aca="false">COUNTIFS('Test Cases'!$B$2:$B$291,"M02",'Test Cases'!$O$2:$O$291,"Blocked")</f>
        <v>0</v>
      </c>
      <c r="F6" s="7" t="n">
        <f aca="false">COUNTIFS('Test Cases'!$B$2:$B$291,"M02",'Test Cases'!$O$2:$O$291,"Not Run")</f>
        <v>20</v>
      </c>
      <c r="G6" s="7" t="n">
        <f aca="false">COUNTIFS('Test Cases'!$B$2:$B$291,"M02",'Test Cases'!$O$2:$O$291,"Deferred")</f>
        <v>0</v>
      </c>
      <c r="H6" s="8" t="n">
        <f aca="false">IF(B6=0,0,C6/B6)</f>
        <v>0</v>
      </c>
    </row>
    <row r="7" customFormat="false" ht="15" hidden="false" customHeight="false" outlineLevel="0" collapsed="false">
      <c r="A7" s="7" t="s">
        <v>45</v>
      </c>
      <c r="B7" s="7" t="n">
        <f aca="false">COUNTIF('Test Cases'!$B$2:$B$291,"M03")</f>
        <v>32</v>
      </c>
      <c r="C7" s="7" t="n">
        <f aca="false">COUNTIFS('Test Cases'!$B$2:$B$291,"M03",'Test Cases'!$O$2:$O$291,"Pass")</f>
        <v>0</v>
      </c>
      <c r="D7" s="7" t="n">
        <f aca="false">COUNTIFS('Test Cases'!$B$2:$B$291,"M03",'Test Cases'!$O$2:$O$291,"Fail")</f>
        <v>0</v>
      </c>
      <c r="E7" s="7" t="n">
        <f aca="false">COUNTIFS('Test Cases'!$B$2:$B$291,"M03",'Test Cases'!$O$2:$O$291,"Blocked")</f>
        <v>0</v>
      </c>
      <c r="F7" s="7" t="n">
        <f aca="false">COUNTIFS('Test Cases'!$B$2:$B$291,"M03",'Test Cases'!$O$2:$O$291,"Not Run")</f>
        <v>32</v>
      </c>
      <c r="G7" s="7" t="n">
        <f aca="false">COUNTIFS('Test Cases'!$B$2:$B$291,"M03",'Test Cases'!$O$2:$O$291,"Deferred")</f>
        <v>0</v>
      </c>
      <c r="H7" s="8" t="n">
        <f aca="false">IF(B7=0,0,C7/B7)</f>
        <v>0</v>
      </c>
    </row>
    <row r="8" customFormat="false" ht="15" hidden="false" customHeight="false" outlineLevel="0" collapsed="false">
      <c r="A8" s="7" t="s">
        <v>46</v>
      </c>
      <c r="B8" s="7" t="n">
        <f aca="false">COUNTIF('Test Cases'!$B$2:$B$291,"M04")</f>
        <v>34</v>
      </c>
      <c r="C8" s="7" t="n">
        <f aca="false">COUNTIFS('Test Cases'!$B$2:$B$291,"M04",'Test Cases'!$O$2:$O$291,"Pass")</f>
        <v>0</v>
      </c>
      <c r="D8" s="7" t="n">
        <f aca="false">COUNTIFS('Test Cases'!$B$2:$B$291,"M04",'Test Cases'!$O$2:$O$291,"Fail")</f>
        <v>0</v>
      </c>
      <c r="E8" s="7" t="n">
        <f aca="false">COUNTIFS('Test Cases'!$B$2:$B$291,"M04",'Test Cases'!$O$2:$O$291,"Blocked")</f>
        <v>0</v>
      </c>
      <c r="F8" s="7" t="n">
        <f aca="false">COUNTIFS('Test Cases'!$B$2:$B$291,"M04",'Test Cases'!$O$2:$O$291,"Not Run")</f>
        <v>34</v>
      </c>
      <c r="G8" s="7" t="n">
        <f aca="false">COUNTIFS('Test Cases'!$B$2:$B$291,"M04",'Test Cases'!$O$2:$O$291,"Deferred")</f>
        <v>0</v>
      </c>
      <c r="H8" s="8" t="n">
        <f aca="false">IF(B8=0,0,C8/B8)</f>
        <v>0</v>
      </c>
    </row>
    <row r="9" customFormat="false" ht="15" hidden="false" customHeight="false" outlineLevel="0" collapsed="false">
      <c r="A9" s="7" t="s">
        <v>47</v>
      </c>
      <c r="B9" s="7" t="n">
        <f aca="false">COUNTIF('Test Cases'!$B$2:$B$291,"M05")</f>
        <v>32</v>
      </c>
      <c r="C9" s="7" t="n">
        <f aca="false">COUNTIFS('Test Cases'!$B$2:$B$291,"M05",'Test Cases'!$O$2:$O$291,"Pass")</f>
        <v>0</v>
      </c>
      <c r="D9" s="7" t="n">
        <f aca="false">COUNTIFS('Test Cases'!$B$2:$B$291,"M05",'Test Cases'!$O$2:$O$291,"Fail")</f>
        <v>0</v>
      </c>
      <c r="E9" s="7" t="n">
        <f aca="false">COUNTIFS('Test Cases'!$B$2:$B$291,"M05",'Test Cases'!$O$2:$O$291,"Blocked")</f>
        <v>0</v>
      </c>
      <c r="F9" s="7" t="n">
        <f aca="false">COUNTIFS('Test Cases'!$B$2:$B$291,"M05",'Test Cases'!$O$2:$O$291,"Not Run")</f>
        <v>32</v>
      </c>
      <c r="G9" s="7" t="n">
        <f aca="false">COUNTIFS('Test Cases'!$B$2:$B$291,"M05",'Test Cases'!$O$2:$O$291,"Deferred")</f>
        <v>0</v>
      </c>
      <c r="H9" s="8" t="n">
        <f aca="false">IF(B9=0,0,C9/B9)</f>
        <v>0</v>
      </c>
    </row>
    <row r="10" customFormat="false" ht="15" hidden="false" customHeight="false" outlineLevel="0" collapsed="false">
      <c r="A10" s="7" t="s">
        <v>48</v>
      </c>
      <c r="B10" s="7" t="n">
        <f aca="false">COUNTIF('Test Cases'!$B$2:$B$291,"M06")</f>
        <v>38</v>
      </c>
      <c r="C10" s="7" t="n">
        <f aca="false">COUNTIFS('Test Cases'!$B$2:$B$291,"M06",'Test Cases'!$O$2:$O$291,"Pass")</f>
        <v>0</v>
      </c>
      <c r="D10" s="7" t="n">
        <f aca="false">COUNTIFS('Test Cases'!$B$2:$B$291,"M06",'Test Cases'!$O$2:$O$291,"Fail")</f>
        <v>0</v>
      </c>
      <c r="E10" s="7" t="n">
        <f aca="false">COUNTIFS('Test Cases'!$B$2:$B$291,"M06",'Test Cases'!$O$2:$O$291,"Blocked")</f>
        <v>0</v>
      </c>
      <c r="F10" s="7" t="n">
        <f aca="false">COUNTIFS('Test Cases'!$B$2:$B$291,"M06",'Test Cases'!$O$2:$O$291,"Not Run")</f>
        <v>38</v>
      </c>
      <c r="G10" s="7" t="n">
        <f aca="false">COUNTIFS('Test Cases'!$B$2:$B$291,"M06",'Test Cases'!$O$2:$O$291,"Deferred")</f>
        <v>0</v>
      </c>
      <c r="H10" s="8" t="n">
        <f aca="false">IF(B10=0,0,C10/B10)</f>
        <v>0</v>
      </c>
    </row>
    <row r="11" customFormat="false" ht="15" hidden="false" customHeight="false" outlineLevel="0" collapsed="false">
      <c r="A11" s="7" t="s">
        <v>49</v>
      </c>
      <c r="B11" s="7" t="n">
        <f aca="false">COUNTIF('Test Cases'!$B$2:$B$291,"M07")</f>
        <v>26</v>
      </c>
      <c r="C11" s="7" t="n">
        <f aca="false">COUNTIFS('Test Cases'!$B$2:$B$291,"M07",'Test Cases'!$O$2:$O$291,"Pass")</f>
        <v>0</v>
      </c>
      <c r="D11" s="7" t="n">
        <f aca="false">COUNTIFS('Test Cases'!$B$2:$B$291,"M07",'Test Cases'!$O$2:$O$291,"Fail")</f>
        <v>0</v>
      </c>
      <c r="E11" s="7" t="n">
        <f aca="false">COUNTIFS('Test Cases'!$B$2:$B$291,"M07",'Test Cases'!$O$2:$O$291,"Blocked")</f>
        <v>0</v>
      </c>
      <c r="F11" s="7" t="n">
        <f aca="false">COUNTIFS('Test Cases'!$B$2:$B$291,"M07",'Test Cases'!$O$2:$O$291,"Not Run")</f>
        <v>26</v>
      </c>
      <c r="G11" s="7" t="n">
        <f aca="false">COUNTIFS('Test Cases'!$B$2:$B$291,"M07",'Test Cases'!$O$2:$O$291,"Deferred")</f>
        <v>0</v>
      </c>
      <c r="H11" s="8" t="n">
        <f aca="false">IF(B11=0,0,C11/B11)</f>
        <v>0</v>
      </c>
    </row>
    <row r="12" customFormat="false" ht="15" hidden="false" customHeight="false" outlineLevel="0" collapsed="false">
      <c r="A12" s="7" t="s">
        <v>50</v>
      </c>
      <c r="B12" s="7" t="n">
        <f aca="false">COUNTIF('Test Cases'!$B$2:$B$291,"M08")</f>
        <v>20</v>
      </c>
      <c r="C12" s="7" t="n">
        <f aca="false">COUNTIFS('Test Cases'!$B$2:$B$291,"M08",'Test Cases'!$O$2:$O$291,"Pass")</f>
        <v>0</v>
      </c>
      <c r="D12" s="7" t="n">
        <f aca="false">COUNTIFS('Test Cases'!$B$2:$B$291,"M08",'Test Cases'!$O$2:$O$291,"Fail")</f>
        <v>0</v>
      </c>
      <c r="E12" s="7" t="n">
        <f aca="false">COUNTIFS('Test Cases'!$B$2:$B$291,"M08",'Test Cases'!$O$2:$O$291,"Blocked")</f>
        <v>0</v>
      </c>
      <c r="F12" s="7" t="n">
        <f aca="false">COUNTIFS('Test Cases'!$B$2:$B$291,"M08",'Test Cases'!$O$2:$O$291,"Not Run")</f>
        <v>20</v>
      </c>
      <c r="G12" s="7" t="n">
        <f aca="false">COUNTIFS('Test Cases'!$B$2:$B$291,"M08",'Test Cases'!$O$2:$O$291,"Deferred")</f>
        <v>0</v>
      </c>
      <c r="H12" s="8" t="n">
        <f aca="false">IF(B12=0,0,C12/B12)</f>
        <v>0</v>
      </c>
    </row>
    <row r="13" customFormat="false" ht="15" hidden="false" customHeight="false" outlineLevel="0" collapsed="false">
      <c r="A13" s="7" t="s">
        <v>51</v>
      </c>
      <c r="B13" s="7" t="n">
        <f aca="false">COUNTIF('Test Cases'!$B$2:$B$291,"M09")</f>
        <v>16</v>
      </c>
      <c r="C13" s="7" t="n">
        <f aca="false">COUNTIFS('Test Cases'!$B$2:$B$291,"M09",'Test Cases'!$O$2:$O$291,"Pass")</f>
        <v>0</v>
      </c>
      <c r="D13" s="7" t="n">
        <f aca="false">COUNTIFS('Test Cases'!$B$2:$B$291,"M09",'Test Cases'!$O$2:$O$291,"Fail")</f>
        <v>0</v>
      </c>
      <c r="E13" s="7" t="n">
        <f aca="false">COUNTIFS('Test Cases'!$B$2:$B$291,"M09",'Test Cases'!$O$2:$O$291,"Blocked")</f>
        <v>0</v>
      </c>
      <c r="F13" s="7" t="n">
        <f aca="false">COUNTIFS('Test Cases'!$B$2:$B$291,"M09",'Test Cases'!$O$2:$O$291,"Not Run")</f>
        <v>16</v>
      </c>
      <c r="G13" s="7" t="n">
        <f aca="false">COUNTIFS('Test Cases'!$B$2:$B$291,"M09",'Test Cases'!$O$2:$O$291,"Deferred")</f>
        <v>0</v>
      </c>
      <c r="H13" s="8" t="n">
        <f aca="false">IF(B13=0,0,C13/B13)</f>
        <v>0</v>
      </c>
    </row>
    <row r="14" customFormat="false" ht="22.35" hidden="false" customHeight="false" outlineLevel="0" collapsed="false">
      <c r="A14" s="7" t="s">
        <v>52</v>
      </c>
      <c r="B14" s="7" t="n">
        <f aca="false">COUNTIF('Test Cases'!$B$2:$B$291,"M10")</f>
        <v>32</v>
      </c>
      <c r="C14" s="7" t="n">
        <f aca="false">COUNTIFS('Test Cases'!$B$2:$B$291,"M10",'Test Cases'!$O$2:$O$291,"Pass")</f>
        <v>0</v>
      </c>
      <c r="D14" s="7" t="n">
        <f aca="false">COUNTIFS('Test Cases'!$B$2:$B$291,"M10",'Test Cases'!$O$2:$O$291,"Fail")</f>
        <v>0</v>
      </c>
      <c r="E14" s="7" t="n">
        <f aca="false">COUNTIFS('Test Cases'!$B$2:$B$291,"M10",'Test Cases'!$O$2:$O$291,"Blocked")</f>
        <v>0</v>
      </c>
      <c r="F14" s="7" t="n">
        <f aca="false">COUNTIFS('Test Cases'!$B$2:$B$291,"M10",'Test Cases'!$O$2:$O$291,"Not Run")</f>
        <v>32</v>
      </c>
      <c r="G14" s="7" t="n">
        <f aca="false">COUNTIFS('Test Cases'!$B$2:$B$291,"M10",'Test Cases'!$O$2:$O$291,"Deferred")</f>
        <v>0</v>
      </c>
      <c r="H14" s="8" t="n">
        <f aca="false">IF(B14=0,0,C14/B14)</f>
        <v>0</v>
      </c>
    </row>
    <row r="15" customFormat="false" ht="15" hidden="false" customHeight="false" outlineLevel="0" collapsed="false">
      <c r="A15" s="9" t="s">
        <v>36</v>
      </c>
      <c r="B15" s="9" t="n">
        <f aca="false">SUM(B5:B14)</f>
        <v>290</v>
      </c>
      <c r="C15" s="9" t="n">
        <f aca="false">SUM(C5:C14)</f>
        <v>1</v>
      </c>
      <c r="D15" s="9" t="n">
        <f aca="false">SUM(D5:D14)</f>
        <v>0</v>
      </c>
      <c r="E15" s="9" t="n">
        <f aca="false">SUM(E5:E14)</f>
        <v>0</v>
      </c>
      <c r="F15" s="9" t="n">
        <f aca="false">SUM(F5:F14)</f>
        <v>289</v>
      </c>
      <c r="G15" s="9" t="n">
        <f aca="false">SUM(G5:G14)</f>
        <v>0</v>
      </c>
      <c r="H15" s="10" t="n">
        <f aca="false">IF(B15=0,0,C15/B15)</f>
        <v>0.00344827586206897</v>
      </c>
    </row>
    <row r="17" customFormat="false" ht="15" hidden="false" customHeight="false" outlineLevel="0" collapsed="false">
      <c r="A17" s="6" t="s">
        <v>53</v>
      </c>
      <c r="B17" s="6" t="s">
        <v>36</v>
      </c>
      <c r="C17" s="6" t="s">
        <v>37</v>
      </c>
      <c r="D17" s="6" t="s">
        <v>38</v>
      </c>
      <c r="E17" s="6" t="s">
        <v>39</v>
      </c>
      <c r="F17" s="6" t="s">
        <v>40</v>
      </c>
      <c r="G17" s="6" t="s">
        <v>41</v>
      </c>
      <c r="H17" s="6" t="s">
        <v>42</v>
      </c>
    </row>
    <row r="18" customFormat="false" ht="15" hidden="false" customHeight="false" outlineLevel="0" collapsed="false">
      <c r="A18" s="7" t="s">
        <v>54</v>
      </c>
      <c r="B18" s="7" t="n">
        <f aca="false">COUNTIF('Test Cases'!$E$2:$E$291,"Critical")</f>
        <v>62</v>
      </c>
      <c r="C18" s="7" t="n">
        <f aca="false">COUNTIFS('Test Cases'!$E$2:$E$291,"Critical",'Test Cases'!$O$2:$O$291,"Pass")</f>
        <v>0</v>
      </c>
      <c r="D18" s="7" t="n">
        <f aca="false">COUNTIFS('Test Cases'!$E$2:$E$291,"Critical",'Test Cases'!$O$2:$O$291,"Fail")</f>
        <v>0</v>
      </c>
      <c r="E18" s="7" t="n">
        <f aca="false">COUNTIFS('Test Cases'!$E$2:$E$291,"Critical",'Test Cases'!$O$2:$O$291,"Blocked")</f>
        <v>0</v>
      </c>
      <c r="F18" s="7" t="n">
        <f aca="false">COUNTIFS('Test Cases'!$E$2:$E$291,"Critical",'Test Cases'!$O$2:$O$291,"Not Run")</f>
        <v>62</v>
      </c>
      <c r="G18" s="7" t="n">
        <f aca="false">COUNTIFS('Test Cases'!$E$2:$E$291,"Critical",'Test Cases'!$O$2:$O$291,"Deferred")</f>
        <v>0</v>
      </c>
      <c r="H18" s="8" t="n">
        <f aca="false">IF(B18=0,0,C18/B18)</f>
        <v>0</v>
      </c>
    </row>
    <row r="19" customFormat="false" ht="15" hidden="false" customHeight="false" outlineLevel="0" collapsed="false">
      <c r="A19" s="7" t="s">
        <v>55</v>
      </c>
      <c r="B19" s="7" t="n">
        <f aca="false">COUNTIF('Test Cases'!$E$2:$E$291,"High")</f>
        <v>76</v>
      </c>
      <c r="C19" s="7" t="n">
        <f aca="false">COUNTIFS('Test Cases'!$E$2:$E$291,"High",'Test Cases'!$O$2:$O$291,"Pass")</f>
        <v>1</v>
      </c>
      <c r="D19" s="7" t="n">
        <f aca="false">COUNTIFS('Test Cases'!$E$2:$E$291,"High",'Test Cases'!$O$2:$O$291,"Fail")</f>
        <v>0</v>
      </c>
      <c r="E19" s="7" t="n">
        <f aca="false">COUNTIFS('Test Cases'!$E$2:$E$291,"High",'Test Cases'!$O$2:$O$291,"Blocked")</f>
        <v>0</v>
      </c>
      <c r="F19" s="7" t="n">
        <f aca="false">COUNTIFS('Test Cases'!$E$2:$E$291,"High",'Test Cases'!$O$2:$O$291,"Not Run")</f>
        <v>75</v>
      </c>
      <c r="G19" s="7" t="n">
        <f aca="false">COUNTIFS('Test Cases'!$E$2:$E$291,"High",'Test Cases'!$O$2:$O$291,"Deferred")</f>
        <v>0</v>
      </c>
      <c r="H19" s="8" t="n">
        <f aca="false">IF(B19=0,0,C19/B19)</f>
        <v>0.0131578947368421</v>
      </c>
    </row>
    <row r="20" customFormat="false" ht="15" hidden="false" customHeight="false" outlineLevel="0" collapsed="false">
      <c r="A20" s="7" t="s">
        <v>56</v>
      </c>
      <c r="B20" s="7" t="n">
        <f aca="false">COUNTIF('Test Cases'!$E$2:$E$291,"Medium")</f>
        <v>112</v>
      </c>
      <c r="C20" s="7" t="n">
        <f aca="false">COUNTIFS('Test Cases'!$E$2:$E$291,"Medium",'Test Cases'!$O$2:$O$291,"Pass")</f>
        <v>0</v>
      </c>
      <c r="D20" s="7" t="n">
        <f aca="false">COUNTIFS('Test Cases'!$E$2:$E$291,"Medium",'Test Cases'!$O$2:$O$291,"Fail")</f>
        <v>0</v>
      </c>
      <c r="E20" s="7" t="n">
        <f aca="false">COUNTIFS('Test Cases'!$E$2:$E$291,"Medium",'Test Cases'!$O$2:$O$291,"Blocked")</f>
        <v>0</v>
      </c>
      <c r="F20" s="7" t="n">
        <f aca="false">COUNTIFS('Test Cases'!$E$2:$E$291,"Medium",'Test Cases'!$O$2:$O$291,"Not Run")</f>
        <v>112</v>
      </c>
      <c r="G20" s="7" t="n">
        <f aca="false">COUNTIFS('Test Cases'!$E$2:$E$291,"Medium",'Test Cases'!$O$2:$O$291,"Deferred")</f>
        <v>0</v>
      </c>
      <c r="H20" s="8" t="n">
        <f aca="false">IF(B20=0,0,C20/B20)</f>
        <v>0</v>
      </c>
    </row>
    <row r="21" customFormat="false" ht="15" hidden="false" customHeight="false" outlineLevel="0" collapsed="false">
      <c r="A21" s="7" t="s">
        <v>57</v>
      </c>
      <c r="B21" s="7" t="n">
        <f aca="false">COUNTIF('Test Cases'!$E$2:$E$291,"Low")</f>
        <v>40</v>
      </c>
      <c r="C21" s="7" t="n">
        <f aca="false">COUNTIFS('Test Cases'!$E$2:$E$291,"Low",'Test Cases'!$O$2:$O$291,"Pass")</f>
        <v>0</v>
      </c>
      <c r="D21" s="7" t="n">
        <f aca="false">COUNTIFS('Test Cases'!$E$2:$E$291,"Low",'Test Cases'!$O$2:$O$291,"Fail")</f>
        <v>0</v>
      </c>
      <c r="E21" s="7" t="n">
        <f aca="false">COUNTIFS('Test Cases'!$E$2:$E$291,"Low",'Test Cases'!$O$2:$O$291,"Blocked")</f>
        <v>0</v>
      </c>
      <c r="F21" s="7" t="n">
        <f aca="false">COUNTIFS('Test Cases'!$E$2:$E$291,"Low",'Test Cases'!$O$2:$O$291,"Not Run")</f>
        <v>40</v>
      </c>
      <c r="G21" s="7" t="n">
        <f aca="false">COUNTIFS('Test Cases'!$E$2:$E$291,"Low",'Test Cases'!$O$2:$O$291,"Deferred")</f>
        <v>0</v>
      </c>
      <c r="H21" s="8" t="n">
        <f aca="false">IF(B21=0,0,C21/B21)</f>
        <v>0</v>
      </c>
    </row>
    <row r="23" customFormat="false" ht="15" hidden="false" customHeight="false" outlineLevel="0" collapsed="false">
      <c r="A23" s="6" t="s">
        <v>58</v>
      </c>
      <c r="B23" s="6" t="s">
        <v>36</v>
      </c>
      <c r="C23" s="6" t="s">
        <v>37</v>
      </c>
      <c r="D23" s="6" t="s">
        <v>38</v>
      </c>
      <c r="E23" s="6" t="s">
        <v>39</v>
      </c>
      <c r="F23" s="6" t="s">
        <v>40</v>
      </c>
      <c r="G23" s="6" t="s">
        <v>41</v>
      </c>
      <c r="H23" s="6" t="s">
        <v>42</v>
      </c>
    </row>
    <row r="24" customFormat="false" ht="15" hidden="false" customHeight="false" outlineLevel="0" collapsed="false">
      <c r="A24" s="7" t="s">
        <v>59</v>
      </c>
      <c r="B24" s="7" t="n">
        <f aca="false">COUNTIF('Test Cases'!$H$2:$H$291,"Positive")</f>
        <v>145</v>
      </c>
      <c r="C24" s="7" t="n">
        <f aca="false">COUNTIFS('Test Cases'!$H$2:$H$291,"Positive",'Test Cases'!$O$2:$O$291,"Pass")</f>
        <v>1</v>
      </c>
      <c r="D24" s="7" t="n">
        <f aca="false">COUNTIFS('Test Cases'!$H$2:$H$291,"Positive",'Test Cases'!$O$2:$O$291,"Fail")</f>
        <v>0</v>
      </c>
      <c r="E24" s="7" t="n">
        <f aca="false">COUNTIFS('Test Cases'!$H$2:$H$291,"Positive",'Test Cases'!$O$2:$O$291,"Blocked")</f>
        <v>0</v>
      </c>
      <c r="F24" s="7" t="n">
        <f aca="false">COUNTIFS('Test Cases'!$H$2:$H$291,"Positive",'Test Cases'!$O$2:$O$291,"Not Run")</f>
        <v>144</v>
      </c>
      <c r="G24" s="7" t="n">
        <f aca="false">COUNTIFS('Test Cases'!$H$2:$H$291,"Positive",'Test Cases'!$O$2:$O$291,"Deferred")</f>
        <v>0</v>
      </c>
      <c r="H24" s="8" t="n">
        <f aca="false">IF(B24=0,0,C24/B24)</f>
        <v>0.00689655172413793</v>
      </c>
    </row>
    <row r="25" customFormat="false" ht="15" hidden="false" customHeight="false" outlineLevel="0" collapsed="false">
      <c r="A25" s="7" t="s">
        <v>60</v>
      </c>
      <c r="B25" s="7" t="n">
        <f aca="false">COUNTIF('Test Cases'!$H$2:$H$291,"Negative")</f>
        <v>145</v>
      </c>
      <c r="C25" s="7" t="n">
        <f aca="false">COUNTIFS('Test Cases'!$H$2:$H$291,"Negative",'Test Cases'!$O$2:$O$291,"Pass")</f>
        <v>0</v>
      </c>
      <c r="D25" s="7" t="n">
        <f aca="false">COUNTIFS('Test Cases'!$H$2:$H$291,"Negative",'Test Cases'!$O$2:$O$291,"Fail")</f>
        <v>0</v>
      </c>
      <c r="E25" s="7" t="n">
        <f aca="false">COUNTIFS('Test Cases'!$H$2:$H$291,"Negative",'Test Cases'!$O$2:$O$291,"Blocked")</f>
        <v>0</v>
      </c>
      <c r="F25" s="7" t="n">
        <f aca="false">COUNTIFS('Test Cases'!$H$2:$H$291,"Negative",'Test Cases'!$O$2:$O$291,"Not Run")</f>
        <v>145</v>
      </c>
      <c r="G25" s="7" t="n">
        <f aca="false">COUNTIFS('Test Cases'!$H$2:$H$291,"Negative",'Test Cases'!$O$2:$O$291,"Deferred")</f>
        <v>0</v>
      </c>
      <c r="H25" s="8" t="n">
        <f aca="false">IF(B25=0,0,C25/B25)</f>
        <v>0</v>
      </c>
    </row>
    <row r="27" customFormat="false" ht="15" hidden="false" customHeight="false" outlineLevel="0" collapsed="false">
      <c r="A27" s="6" t="s">
        <v>61</v>
      </c>
      <c r="B27" s="6" t="s">
        <v>36</v>
      </c>
      <c r="C27" s="6" t="s">
        <v>37</v>
      </c>
      <c r="D27" s="6" t="s">
        <v>38</v>
      </c>
      <c r="E27" s="6" t="s">
        <v>39</v>
      </c>
      <c r="F27" s="6" t="s">
        <v>40</v>
      </c>
      <c r="G27" s="6" t="s">
        <v>62</v>
      </c>
      <c r="H27" s="6" t="s">
        <v>42</v>
      </c>
    </row>
    <row r="28" customFormat="false" ht="15" hidden="false" customHeight="false" outlineLevel="0" collapsed="false">
      <c r="A28" s="7" t="s">
        <v>63</v>
      </c>
      <c r="B28" s="7" t="n">
        <f aca="false">COUNTA('E2E Summary'!$A$2:$A$25)</f>
        <v>24</v>
      </c>
      <c r="C28" s="7" t="n">
        <f aca="false">COUNTIF('E2E Summary'!$J$2:$J$25,"Pass")</f>
        <v>0</v>
      </c>
      <c r="D28" s="7" t="n">
        <f aca="false">COUNTIF('E2E Summary'!$J$2:$J$25,"Fail")</f>
        <v>0</v>
      </c>
      <c r="E28" s="7" t="n">
        <f aca="false">COUNTIF('E2E Summary'!$J$2:$J$25,"Blocked")</f>
        <v>0</v>
      </c>
      <c r="F28" s="7" t="n">
        <f aca="false">COUNTIF('E2E Summary'!$J$2:$J$25,"Not Run")</f>
        <v>24</v>
      </c>
      <c r="G28" s="7" t="n">
        <f aca="false">COUNTIF('E2E Summary'!$J$2:$J$25,"In Progress")</f>
        <v>0</v>
      </c>
      <c r="H28" s="8" t="n">
        <f aca="false">IF(B28=0,0,C28/B28)</f>
        <v>0</v>
      </c>
    </row>
    <row r="30" customFormat="false" ht="15" hidden="false" customHeight="false" outlineLevel="0" collapsed="false">
      <c r="A30" s="7" t="s">
        <v>64</v>
      </c>
      <c r="B30" s="7" t="n">
        <f aca="false">COUNTIF(Traceability!$M$2:$M$61,"Pass")</f>
        <v>0</v>
      </c>
    </row>
    <row r="31" customFormat="false" ht="15" hidden="false" customHeight="false" outlineLevel="0" collapsed="false">
      <c r="A31" s="7" t="s">
        <v>65</v>
      </c>
      <c r="B31" s="7" t="n">
        <f aca="false">COUNTIFS('Test Cases'!$E$2:$E$291,"Critical",'Test Cases'!$O$2:$O$291,"Fail")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9"/>
    <col collapsed="false" customWidth="true" hidden="false" outlineLevel="0" max="6" min="6" style="0" width="5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32"/>
    <col collapsed="false" customWidth="true" hidden="false" outlineLevel="0" max="10" min="10" style="0" width="30"/>
    <col collapsed="false" customWidth="true" hidden="false" outlineLevel="0" max="11" min="11" style="0" width="48"/>
    <col collapsed="false" customWidth="true" hidden="false" outlineLevel="0" max="12" min="12" style="0" width="28"/>
    <col collapsed="false" customWidth="true" hidden="false" outlineLevel="0" max="13" min="13" style="0" width="44"/>
    <col collapsed="false" customWidth="true" hidden="false" outlineLevel="0" max="14" min="14" style="0" width="30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2"/>
    <col collapsed="false" customWidth="true" hidden="false" outlineLevel="0" max="19" min="19" style="0" width="16"/>
    <col collapsed="false" customWidth="true" hidden="false" outlineLevel="0" max="20" min="20" style="0" width="10"/>
    <col collapsed="false" customWidth="true" hidden="false" outlineLevel="0" max="21" min="21" style="0" width="24"/>
  </cols>
  <sheetData>
    <row r="1" customFormat="false" ht="30" hidden="false" customHeight="true" outlineLevel="0" collapsed="false">
      <c r="A1" s="11" t="s">
        <v>66</v>
      </c>
      <c r="B1" s="11" t="s">
        <v>67</v>
      </c>
      <c r="C1" s="11" t="s">
        <v>68</v>
      </c>
      <c r="D1" s="11" t="s">
        <v>69</v>
      </c>
      <c r="E1" s="11" t="s">
        <v>70</v>
      </c>
      <c r="F1" s="11" t="s">
        <v>71</v>
      </c>
      <c r="G1" s="11" t="s">
        <v>72</v>
      </c>
      <c r="H1" s="11" t="s">
        <v>73</v>
      </c>
      <c r="I1" s="11" t="s">
        <v>74</v>
      </c>
      <c r="J1" s="11" t="s">
        <v>75</v>
      </c>
      <c r="K1" s="11" t="s">
        <v>76</v>
      </c>
      <c r="L1" s="11" t="s">
        <v>77</v>
      </c>
      <c r="M1" s="11" t="s">
        <v>78</v>
      </c>
      <c r="N1" s="11" t="s">
        <v>79</v>
      </c>
      <c r="O1" s="11" t="s">
        <v>80</v>
      </c>
      <c r="P1" s="11" t="s">
        <v>81</v>
      </c>
      <c r="Q1" s="11" t="s">
        <v>82</v>
      </c>
      <c r="R1" s="11" t="s">
        <v>83</v>
      </c>
      <c r="S1" s="11" t="s">
        <v>84</v>
      </c>
      <c r="T1" s="11" t="s">
        <v>85</v>
      </c>
      <c r="U1" s="11" t="s">
        <v>86</v>
      </c>
    </row>
    <row r="2" customFormat="false" ht="43.25" hidden="false" customHeight="false" outlineLevel="0" collapsed="false">
      <c r="A2" s="7" t="s">
        <v>87</v>
      </c>
      <c r="B2" s="7" t="s">
        <v>88</v>
      </c>
      <c r="C2" s="7" t="s">
        <v>89</v>
      </c>
      <c r="D2" s="7" t="s">
        <v>90</v>
      </c>
      <c r="E2" s="7" t="s">
        <v>55</v>
      </c>
      <c r="F2" s="7" t="n">
        <v>1</v>
      </c>
      <c r="G2" s="7" t="s">
        <v>91</v>
      </c>
      <c r="H2" s="7" t="s">
        <v>59</v>
      </c>
      <c r="I2" s="7" t="s">
        <v>92</v>
      </c>
      <c r="J2" s="7" t="s">
        <v>93</v>
      </c>
      <c r="K2" s="7" t="s">
        <v>94</v>
      </c>
      <c r="L2" s="7" t="s">
        <v>95</v>
      </c>
      <c r="M2" s="7" t="s">
        <v>96</v>
      </c>
      <c r="N2" s="12" t="s">
        <v>97</v>
      </c>
      <c r="O2" s="12" t="s">
        <v>37</v>
      </c>
      <c r="P2" s="12"/>
      <c r="Q2" s="12" t="s">
        <v>98</v>
      </c>
      <c r="R2" s="13" t="n">
        <f aca="false">DATE(2026,10,8)</f>
        <v>46303</v>
      </c>
      <c r="S2" s="12" t="s">
        <v>99</v>
      </c>
      <c r="T2" s="12"/>
      <c r="U2" s="12"/>
    </row>
    <row r="3" customFormat="false" ht="32.8" hidden="false" customHeight="false" outlineLevel="0" collapsed="false">
      <c r="A3" s="7" t="s">
        <v>100</v>
      </c>
      <c r="B3" s="7" t="s">
        <v>88</v>
      </c>
      <c r="C3" s="7" t="s">
        <v>89</v>
      </c>
      <c r="D3" s="7" t="s">
        <v>90</v>
      </c>
      <c r="E3" s="7" t="s">
        <v>55</v>
      </c>
      <c r="F3" s="7" t="n">
        <v>1</v>
      </c>
      <c r="G3" s="7" t="s">
        <v>91</v>
      </c>
      <c r="H3" s="7" t="s">
        <v>60</v>
      </c>
      <c r="I3" s="7" t="s">
        <v>101</v>
      </c>
      <c r="J3" s="7" t="s">
        <v>93</v>
      </c>
      <c r="K3" s="7" t="s">
        <v>102</v>
      </c>
      <c r="L3" s="7" t="s">
        <v>103</v>
      </c>
      <c r="M3" s="7" t="s">
        <v>104</v>
      </c>
      <c r="N3" s="12"/>
      <c r="O3" s="12" t="s">
        <v>40</v>
      </c>
      <c r="P3" s="12"/>
      <c r="Q3" s="12"/>
      <c r="R3" s="13"/>
      <c r="S3" s="12"/>
      <c r="T3" s="12"/>
      <c r="U3" s="12"/>
    </row>
    <row r="4" customFormat="false" ht="32.8" hidden="false" customHeight="false" outlineLevel="0" collapsed="false">
      <c r="A4" s="7" t="s">
        <v>105</v>
      </c>
      <c r="B4" s="7" t="s">
        <v>88</v>
      </c>
      <c r="C4" s="7" t="s">
        <v>89</v>
      </c>
      <c r="D4" s="7" t="s">
        <v>90</v>
      </c>
      <c r="E4" s="7" t="s">
        <v>55</v>
      </c>
      <c r="F4" s="7" t="n">
        <v>2</v>
      </c>
      <c r="G4" s="7" t="s">
        <v>106</v>
      </c>
      <c r="H4" s="7" t="s">
        <v>59</v>
      </c>
      <c r="I4" s="7" t="s">
        <v>107</v>
      </c>
      <c r="J4" s="7" t="s">
        <v>93</v>
      </c>
      <c r="K4" s="7" t="s">
        <v>108</v>
      </c>
      <c r="L4" s="7" t="s">
        <v>109</v>
      </c>
      <c r="M4" s="7" t="s">
        <v>110</v>
      </c>
      <c r="N4" s="12"/>
      <c r="O4" s="12" t="s">
        <v>40</v>
      </c>
      <c r="P4" s="12"/>
      <c r="Q4" s="12"/>
      <c r="R4" s="13"/>
      <c r="S4" s="12"/>
      <c r="T4" s="12"/>
      <c r="U4" s="12"/>
    </row>
    <row r="5" customFormat="false" ht="43.25" hidden="false" customHeight="false" outlineLevel="0" collapsed="false">
      <c r="A5" s="7" t="s">
        <v>111</v>
      </c>
      <c r="B5" s="7" t="s">
        <v>88</v>
      </c>
      <c r="C5" s="7" t="s">
        <v>89</v>
      </c>
      <c r="D5" s="7" t="s">
        <v>90</v>
      </c>
      <c r="E5" s="7" t="s">
        <v>55</v>
      </c>
      <c r="F5" s="7" t="n">
        <v>2</v>
      </c>
      <c r="G5" s="7" t="s">
        <v>106</v>
      </c>
      <c r="H5" s="7" t="s">
        <v>60</v>
      </c>
      <c r="I5" s="7" t="s">
        <v>112</v>
      </c>
      <c r="J5" s="7" t="s">
        <v>93</v>
      </c>
      <c r="K5" s="7" t="s">
        <v>113</v>
      </c>
      <c r="L5" s="7" t="s">
        <v>114</v>
      </c>
      <c r="M5" s="7" t="s">
        <v>115</v>
      </c>
      <c r="N5" s="12"/>
      <c r="O5" s="12" t="s">
        <v>40</v>
      </c>
      <c r="P5" s="12"/>
      <c r="Q5" s="12"/>
      <c r="R5" s="13"/>
      <c r="S5" s="12"/>
      <c r="T5" s="12"/>
      <c r="U5" s="12"/>
    </row>
    <row r="6" customFormat="false" ht="32.8" hidden="false" customHeight="false" outlineLevel="0" collapsed="false">
      <c r="A6" s="7" t="s">
        <v>116</v>
      </c>
      <c r="B6" s="7" t="s">
        <v>88</v>
      </c>
      <c r="C6" s="7" t="s">
        <v>89</v>
      </c>
      <c r="D6" s="7" t="s">
        <v>90</v>
      </c>
      <c r="E6" s="7" t="s">
        <v>55</v>
      </c>
      <c r="F6" s="7" t="n">
        <v>3</v>
      </c>
      <c r="G6" s="7" t="s">
        <v>117</v>
      </c>
      <c r="H6" s="7" t="s">
        <v>59</v>
      </c>
      <c r="I6" s="7" t="s">
        <v>118</v>
      </c>
      <c r="J6" s="7" t="s">
        <v>93</v>
      </c>
      <c r="K6" s="7" t="s">
        <v>119</v>
      </c>
      <c r="L6" s="7" t="s">
        <v>120</v>
      </c>
      <c r="M6" s="7" t="s">
        <v>121</v>
      </c>
      <c r="N6" s="12"/>
      <c r="O6" s="12" t="s">
        <v>40</v>
      </c>
      <c r="P6" s="12"/>
      <c r="Q6" s="12"/>
      <c r="R6" s="13"/>
      <c r="S6" s="12"/>
      <c r="T6" s="12"/>
      <c r="U6" s="12"/>
    </row>
    <row r="7" customFormat="false" ht="32.8" hidden="false" customHeight="false" outlineLevel="0" collapsed="false">
      <c r="A7" s="7" t="s">
        <v>122</v>
      </c>
      <c r="B7" s="7" t="s">
        <v>88</v>
      </c>
      <c r="C7" s="7" t="s">
        <v>89</v>
      </c>
      <c r="D7" s="7" t="s">
        <v>90</v>
      </c>
      <c r="E7" s="7" t="s">
        <v>55</v>
      </c>
      <c r="F7" s="7" t="n">
        <v>3</v>
      </c>
      <c r="G7" s="7" t="s">
        <v>117</v>
      </c>
      <c r="H7" s="7" t="s">
        <v>60</v>
      </c>
      <c r="I7" s="7" t="s">
        <v>123</v>
      </c>
      <c r="J7" s="7" t="s">
        <v>93</v>
      </c>
      <c r="K7" s="7" t="s">
        <v>124</v>
      </c>
      <c r="L7" s="7" t="s">
        <v>125</v>
      </c>
      <c r="M7" s="7" t="s">
        <v>126</v>
      </c>
      <c r="N7" s="12"/>
      <c r="O7" s="12" t="s">
        <v>40</v>
      </c>
      <c r="P7" s="12"/>
      <c r="Q7" s="12"/>
      <c r="R7" s="13"/>
      <c r="S7" s="12"/>
      <c r="T7" s="12"/>
      <c r="U7" s="12"/>
    </row>
    <row r="8" customFormat="false" ht="32.8" hidden="false" customHeight="false" outlineLevel="0" collapsed="false">
      <c r="A8" s="7" t="s">
        <v>127</v>
      </c>
      <c r="B8" s="7" t="s">
        <v>88</v>
      </c>
      <c r="C8" s="7" t="s">
        <v>89</v>
      </c>
      <c r="D8" s="7" t="s">
        <v>90</v>
      </c>
      <c r="E8" s="7" t="s">
        <v>55</v>
      </c>
      <c r="F8" s="7" t="n">
        <v>4</v>
      </c>
      <c r="G8" s="7" t="s">
        <v>128</v>
      </c>
      <c r="H8" s="7" t="s">
        <v>59</v>
      </c>
      <c r="I8" s="7" t="s">
        <v>129</v>
      </c>
      <c r="J8" s="7" t="s">
        <v>93</v>
      </c>
      <c r="K8" s="7" t="s">
        <v>130</v>
      </c>
      <c r="L8" s="7" t="s">
        <v>131</v>
      </c>
      <c r="M8" s="7" t="s">
        <v>132</v>
      </c>
      <c r="N8" s="12"/>
      <c r="O8" s="12" t="s">
        <v>40</v>
      </c>
      <c r="P8" s="12"/>
      <c r="Q8" s="12"/>
      <c r="R8" s="13"/>
      <c r="S8" s="12"/>
      <c r="T8" s="12"/>
      <c r="U8" s="12"/>
    </row>
    <row r="9" customFormat="false" ht="32.8" hidden="false" customHeight="false" outlineLevel="0" collapsed="false">
      <c r="A9" s="7" t="s">
        <v>133</v>
      </c>
      <c r="B9" s="7" t="s">
        <v>88</v>
      </c>
      <c r="C9" s="7" t="s">
        <v>89</v>
      </c>
      <c r="D9" s="7" t="s">
        <v>90</v>
      </c>
      <c r="E9" s="7" t="s">
        <v>55</v>
      </c>
      <c r="F9" s="7" t="n">
        <v>4</v>
      </c>
      <c r="G9" s="7" t="s">
        <v>128</v>
      </c>
      <c r="H9" s="7" t="s">
        <v>60</v>
      </c>
      <c r="I9" s="7" t="s">
        <v>134</v>
      </c>
      <c r="J9" s="7" t="s">
        <v>93</v>
      </c>
      <c r="K9" s="7" t="s">
        <v>135</v>
      </c>
      <c r="L9" s="7" t="s">
        <v>136</v>
      </c>
      <c r="M9" s="7" t="s">
        <v>137</v>
      </c>
      <c r="N9" s="12"/>
      <c r="O9" s="12" t="s">
        <v>40</v>
      </c>
      <c r="P9" s="12"/>
      <c r="Q9" s="12"/>
      <c r="R9" s="13"/>
      <c r="S9" s="12"/>
      <c r="T9" s="12"/>
      <c r="U9" s="12"/>
    </row>
    <row r="10" customFormat="false" ht="32.8" hidden="false" customHeight="false" outlineLevel="0" collapsed="false">
      <c r="A10" s="7" t="s">
        <v>138</v>
      </c>
      <c r="B10" s="7" t="s">
        <v>88</v>
      </c>
      <c r="C10" s="7" t="s">
        <v>139</v>
      </c>
      <c r="D10" s="7" t="s">
        <v>140</v>
      </c>
      <c r="E10" s="7" t="s">
        <v>54</v>
      </c>
      <c r="F10" s="7" t="n">
        <v>1</v>
      </c>
      <c r="G10" s="7" t="s">
        <v>141</v>
      </c>
      <c r="H10" s="7" t="s">
        <v>59</v>
      </c>
      <c r="I10" s="7" t="s">
        <v>142</v>
      </c>
      <c r="J10" s="7" t="s">
        <v>143</v>
      </c>
      <c r="K10" s="7" t="s">
        <v>144</v>
      </c>
      <c r="L10" s="7" t="s">
        <v>145</v>
      </c>
      <c r="M10" s="7" t="s">
        <v>146</v>
      </c>
      <c r="N10" s="12"/>
      <c r="O10" s="12" t="s">
        <v>40</v>
      </c>
      <c r="P10" s="12"/>
      <c r="Q10" s="12"/>
      <c r="R10" s="13"/>
      <c r="S10" s="12"/>
      <c r="T10" s="12"/>
      <c r="U10" s="12"/>
    </row>
    <row r="11" customFormat="false" ht="32.8" hidden="false" customHeight="false" outlineLevel="0" collapsed="false">
      <c r="A11" s="7" t="s">
        <v>147</v>
      </c>
      <c r="B11" s="7" t="s">
        <v>88</v>
      </c>
      <c r="C11" s="7" t="s">
        <v>139</v>
      </c>
      <c r="D11" s="7" t="s">
        <v>140</v>
      </c>
      <c r="E11" s="7" t="s">
        <v>54</v>
      </c>
      <c r="F11" s="7" t="n">
        <v>1</v>
      </c>
      <c r="G11" s="7" t="s">
        <v>141</v>
      </c>
      <c r="H11" s="7" t="s">
        <v>60</v>
      </c>
      <c r="I11" s="7" t="s">
        <v>148</v>
      </c>
      <c r="J11" s="7" t="s">
        <v>143</v>
      </c>
      <c r="K11" s="7" t="s">
        <v>149</v>
      </c>
      <c r="L11" s="7" t="s">
        <v>150</v>
      </c>
      <c r="M11" s="7" t="s">
        <v>151</v>
      </c>
      <c r="N11" s="12"/>
      <c r="O11" s="12" t="s">
        <v>40</v>
      </c>
      <c r="P11" s="12"/>
      <c r="Q11" s="12"/>
      <c r="R11" s="13"/>
      <c r="S11" s="12"/>
      <c r="T11" s="12"/>
      <c r="U11" s="12"/>
    </row>
    <row r="12" customFormat="false" ht="22.35" hidden="false" customHeight="false" outlineLevel="0" collapsed="false">
      <c r="A12" s="7" t="s">
        <v>152</v>
      </c>
      <c r="B12" s="7" t="s">
        <v>88</v>
      </c>
      <c r="C12" s="7" t="s">
        <v>139</v>
      </c>
      <c r="D12" s="7" t="s">
        <v>140</v>
      </c>
      <c r="E12" s="7" t="s">
        <v>54</v>
      </c>
      <c r="F12" s="7" t="n">
        <v>2</v>
      </c>
      <c r="G12" s="7" t="s">
        <v>153</v>
      </c>
      <c r="H12" s="7" t="s">
        <v>59</v>
      </c>
      <c r="I12" s="7" t="s">
        <v>154</v>
      </c>
      <c r="J12" s="7" t="s">
        <v>143</v>
      </c>
      <c r="K12" s="7" t="s">
        <v>155</v>
      </c>
      <c r="L12" s="7" t="s">
        <v>156</v>
      </c>
      <c r="M12" s="7" t="s">
        <v>157</v>
      </c>
      <c r="N12" s="12"/>
      <c r="O12" s="12" t="s">
        <v>40</v>
      </c>
      <c r="P12" s="12"/>
      <c r="Q12" s="12"/>
      <c r="R12" s="13"/>
      <c r="S12" s="12"/>
      <c r="T12" s="12"/>
      <c r="U12" s="12"/>
    </row>
    <row r="13" customFormat="false" ht="22.35" hidden="false" customHeight="false" outlineLevel="0" collapsed="false">
      <c r="A13" s="7" t="s">
        <v>158</v>
      </c>
      <c r="B13" s="7" t="s">
        <v>88</v>
      </c>
      <c r="C13" s="7" t="s">
        <v>139</v>
      </c>
      <c r="D13" s="7" t="s">
        <v>140</v>
      </c>
      <c r="E13" s="7" t="s">
        <v>54</v>
      </c>
      <c r="F13" s="7" t="n">
        <v>2</v>
      </c>
      <c r="G13" s="7" t="s">
        <v>153</v>
      </c>
      <c r="H13" s="7" t="s">
        <v>60</v>
      </c>
      <c r="I13" s="7" t="s">
        <v>159</v>
      </c>
      <c r="J13" s="7" t="s">
        <v>143</v>
      </c>
      <c r="K13" s="7" t="s">
        <v>160</v>
      </c>
      <c r="L13" s="7" t="s">
        <v>161</v>
      </c>
      <c r="M13" s="7" t="s">
        <v>162</v>
      </c>
      <c r="N13" s="12"/>
      <c r="O13" s="12" t="s">
        <v>40</v>
      </c>
      <c r="P13" s="12"/>
      <c r="Q13" s="12"/>
      <c r="R13" s="13"/>
      <c r="S13" s="12"/>
      <c r="T13" s="12"/>
      <c r="U13" s="12"/>
    </row>
    <row r="14" customFormat="false" ht="22.35" hidden="false" customHeight="false" outlineLevel="0" collapsed="false">
      <c r="A14" s="7" t="s">
        <v>163</v>
      </c>
      <c r="B14" s="7" t="s">
        <v>88</v>
      </c>
      <c r="C14" s="7" t="s">
        <v>139</v>
      </c>
      <c r="D14" s="7" t="s">
        <v>140</v>
      </c>
      <c r="E14" s="7" t="s">
        <v>54</v>
      </c>
      <c r="F14" s="7" t="n">
        <v>3</v>
      </c>
      <c r="G14" s="7" t="s">
        <v>164</v>
      </c>
      <c r="H14" s="7" t="s">
        <v>59</v>
      </c>
      <c r="I14" s="7" t="s">
        <v>165</v>
      </c>
      <c r="J14" s="7" t="s">
        <v>143</v>
      </c>
      <c r="K14" s="7" t="s">
        <v>166</v>
      </c>
      <c r="L14" s="7" t="s">
        <v>167</v>
      </c>
      <c r="M14" s="7" t="s">
        <v>168</v>
      </c>
      <c r="N14" s="12"/>
      <c r="O14" s="12" t="s">
        <v>40</v>
      </c>
      <c r="P14" s="12"/>
      <c r="Q14" s="12"/>
      <c r="R14" s="13"/>
      <c r="S14" s="12"/>
      <c r="T14" s="12"/>
      <c r="U14" s="12"/>
    </row>
    <row r="15" customFormat="false" ht="32.8" hidden="false" customHeight="false" outlineLevel="0" collapsed="false">
      <c r="A15" s="7" t="s">
        <v>169</v>
      </c>
      <c r="B15" s="7" t="s">
        <v>88</v>
      </c>
      <c r="C15" s="7" t="s">
        <v>139</v>
      </c>
      <c r="D15" s="7" t="s">
        <v>140</v>
      </c>
      <c r="E15" s="7" t="s">
        <v>54</v>
      </c>
      <c r="F15" s="7" t="n">
        <v>3</v>
      </c>
      <c r="G15" s="7" t="s">
        <v>164</v>
      </c>
      <c r="H15" s="7" t="s">
        <v>60</v>
      </c>
      <c r="I15" s="7" t="s">
        <v>170</v>
      </c>
      <c r="J15" s="7" t="s">
        <v>143</v>
      </c>
      <c r="K15" s="7" t="s">
        <v>171</v>
      </c>
      <c r="L15" s="7" t="s">
        <v>172</v>
      </c>
      <c r="M15" s="7" t="s">
        <v>173</v>
      </c>
      <c r="N15" s="12"/>
      <c r="O15" s="12" t="s">
        <v>40</v>
      </c>
      <c r="P15" s="12"/>
      <c r="Q15" s="12"/>
      <c r="R15" s="13"/>
      <c r="S15" s="12"/>
      <c r="T15" s="12"/>
      <c r="U15" s="12"/>
    </row>
    <row r="16" customFormat="false" ht="32.8" hidden="false" customHeight="false" outlineLevel="0" collapsed="false">
      <c r="A16" s="7" t="s">
        <v>174</v>
      </c>
      <c r="B16" s="7" t="s">
        <v>88</v>
      </c>
      <c r="C16" s="7" t="s">
        <v>175</v>
      </c>
      <c r="D16" s="7" t="s">
        <v>176</v>
      </c>
      <c r="E16" s="7" t="s">
        <v>56</v>
      </c>
      <c r="F16" s="7" t="n">
        <v>1</v>
      </c>
      <c r="G16" s="7" t="s">
        <v>177</v>
      </c>
      <c r="H16" s="7" t="s">
        <v>59</v>
      </c>
      <c r="I16" s="7" t="s">
        <v>178</v>
      </c>
      <c r="J16" s="7" t="s">
        <v>179</v>
      </c>
      <c r="K16" s="7" t="s">
        <v>180</v>
      </c>
      <c r="L16" s="7" t="s">
        <v>181</v>
      </c>
      <c r="M16" s="7" t="s">
        <v>182</v>
      </c>
      <c r="N16" s="12"/>
      <c r="O16" s="12" t="s">
        <v>40</v>
      </c>
      <c r="P16" s="12"/>
      <c r="Q16" s="12"/>
      <c r="R16" s="13"/>
      <c r="S16" s="12"/>
      <c r="T16" s="12"/>
      <c r="U16" s="12"/>
    </row>
    <row r="17" customFormat="false" ht="32.8" hidden="false" customHeight="false" outlineLevel="0" collapsed="false">
      <c r="A17" s="7" t="s">
        <v>183</v>
      </c>
      <c r="B17" s="7" t="s">
        <v>88</v>
      </c>
      <c r="C17" s="7" t="s">
        <v>175</v>
      </c>
      <c r="D17" s="7" t="s">
        <v>176</v>
      </c>
      <c r="E17" s="7" t="s">
        <v>56</v>
      </c>
      <c r="F17" s="7" t="n">
        <v>1</v>
      </c>
      <c r="G17" s="7" t="s">
        <v>177</v>
      </c>
      <c r="H17" s="7" t="s">
        <v>60</v>
      </c>
      <c r="I17" s="7" t="s">
        <v>184</v>
      </c>
      <c r="J17" s="7" t="s">
        <v>179</v>
      </c>
      <c r="K17" s="7" t="s">
        <v>185</v>
      </c>
      <c r="L17" s="7" t="s">
        <v>136</v>
      </c>
      <c r="M17" s="7" t="s">
        <v>186</v>
      </c>
      <c r="N17" s="12"/>
      <c r="O17" s="12" t="s">
        <v>40</v>
      </c>
      <c r="P17" s="12"/>
      <c r="Q17" s="12"/>
      <c r="R17" s="13"/>
      <c r="S17" s="12"/>
      <c r="T17" s="12"/>
      <c r="U17" s="12"/>
    </row>
    <row r="18" customFormat="false" ht="32.8" hidden="false" customHeight="false" outlineLevel="0" collapsed="false">
      <c r="A18" s="7" t="s">
        <v>187</v>
      </c>
      <c r="B18" s="7" t="s">
        <v>88</v>
      </c>
      <c r="C18" s="7" t="s">
        <v>175</v>
      </c>
      <c r="D18" s="7" t="s">
        <v>176</v>
      </c>
      <c r="E18" s="7" t="s">
        <v>56</v>
      </c>
      <c r="F18" s="7" t="n">
        <v>2</v>
      </c>
      <c r="G18" s="7" t="s">
        <v>188</v>
      </c>
      <c r="H18" s="7" t="s">
        <v>59</v>
      </c>
      <c r="I18" s="7" t="s">
        <v>189</v>
      </c>
      <c r="J18" s="7" t="s">
        <v>179</v>
      </c>
      <c r="K18" s="7" t="s">
        <v>190</v>
      </c>
      <c r="L18" s="7" t="s">
        <v>191</v>
      </c>
      <c r="M18" s="7" t="s">
        <v>192</v>
      </c>
      <c r="N18" s="12"/>
      <c r="O18" s="12" t="s">
        <v>40</v>
      </c>
      <c r="P18" s="12"/>
      <c r="Q18" s="12"/>
      <c r="R18" s="13"/>
      <c r="S18" s="12"/>
      <c r="T18" s="12"/>
      <c r="U18" s="12"/>
    </row>
    <row r="19" customFormat="false" ht="32.8" hidden="false" customHeight="false" outlineLevel="0" collapsed="false">
      <c r="A19" s="7" t="s">
        <v>193</v>
      </c>
      <c r="B19" s="7" t="s">
        <v>88</v>
      </c>
      <c r="C19" s="7" t="s">
        <v>175</v>
      </c>
      <c r="D19" s="7" t="s">
        <v>176</v>
      </c>
      <c r="E19" s="7" t="s">
        <v>56</v>
      </c>
      <c r="F19" s="7" t="n">
        <v>2</v>
      </c>
      <c r="G19" s="7" t="s">
        <v>188</v>
      </c>
      <c r="H19" s="7" t="s">
        <v>60</v>
      </c>
      <c r="I19" s="7" t="s">
        <v>194</v>
      </c>
      <c r="J19" s="7" t="s">
        <v>179</v>
      </c>
      <c r="K19" s="7" t="s">
        <v>195</v>
      </c>
      <c r="L19" s="7" t="s">
        <v>196</v>
      </c>
      <c r="M19" s="7" t="s">
        <v>197</v>
      </c>
      <c r="N19" s="12"/>
      <c r="O19" s="12" t="s">
        <v>40</v>
      </c>
      <c r="P19" s="12"/>
      <c r="Q19" s="12"/>
      <c r="R19" s="13"/>
      <c r="S19" s="12"/>
      <c r="T19" s="12"/>
      <c r="U19" s="12"/>
    </row>
    <row r="20" customFormat="false" ht="32.8" hidden="false" customHeight="false" outlineLevel="0" collapsed="false">
      <c r="A20" s="7" t="s">
        <v>198</v>
      </c>
      <c r="B20" s="7" t="s">
        <v>88</v>
      </c>
      <c r="C20" s="7" t="s">
        <v>175</v>
      </c>
      <c r="D20" s="7" t="s">
        <v>176</v>
      </c>
      <c r="E20" s="7" t="s">
        <v>56</v>
      </c>
      <c r="F20" s="7" t="n">
        <v>3</v>
      </c>
      <c r="G20" s="7" t="s">
        <v>199</v>
      </c>
      <c r="H20" s="7" t="s">
        <v>59</v>
      </c>
      <c r="I20" s="7" t="s">
        <v>200</v>
      </c>
      <c r="J20" s="7" t="s">
        <v>179</v>
      </c>
      <c r="K20" s="7" t="s">
        <v>201</v>
      </c>
      <c r="L20" s="7" t="s">
        <v>202</v>
      </c>
      <c r="M20" s="7" t="s">
        <v>203</v>
      </c>
      <c r="N20" s="12"/>
      <c r="O20" s="12" t="s">
        <v>40</v>
      </c>
      <c r="P20" s="12"/>
      <c r="Q20" s="12"/>
      <c r="R20" s="13"/>
      <c r="S20" s="12"/>
      <c r="T20" s="12"/>
      <c r="U20" s="12"/>
    </row>
    <row r="21" customFormat="false" ht="32.8" hidden="false" customHeight="false" outlineLevel="0" collapsed="false">
      <c r="A21" s="7" t="s">
        <v>204</v>
      </c>
      <c r="B21" s="7" t="s">
        <v>88</v>
      </c>
      <c r="C21" s="7" t="s">
        <v>175</v>
      </c>
      <c r="D21" s="7" t="s">
        <v>176</v>
      </c>
      <c r="E21" s="7" t="s">
        <v>56</v>
      </c>
      <c r="F21" s="7" t="n">
        <v>3</v>
      </c>
      <c r="G21" s="7" t="s">
        <v>199</v>
      </c>
      <c r="H21" s="7" t="s">
        <v>60</v>
      </c>
      <c r="I21" s="7" t="s">
        <v>205</v>
      </c>
      <c r="J21" s="7" t="s">
        <v>179</v>
      </c>
      <c r="K21" s="7" t="s">
        <v>206</v>
      </c>
      <c r="L21" s="7" t="s">
        <v>136</v>
      </c>
      <c r="M21" s="7" t="s">
        <v>207</v>
      </c>
      <c r="N21" s="12"/>
      <c r="O21" s="12" t="s">
        <v>40</v>
      </c>
      <c r="P21" s="12"/>
      <c r="Q21" s="12"/>
      <c r="R21" s="13"/>
      <c r="S21" s="12"/>
      <c r="T21" s="12"/>
      <c r="U21" s="12"/>
    </row>
    <row r="22" customFormat="false" ht="43.25" hidden="false" customHeight="false" outlineLevel="0" collapsed="false">
      <c r="A22" s="7" t="s">
        <v>208</v>
      </c>
      <c r="B22" s="7" t="s">
        <v>88</v>
      </c>
      <c r="C22" s="7" t="s">
        <v>209</v>
      </c>
      <c r="D22" s="7" t="s">
        <v>210</v>
      </c>
      <c r="E22" s="7" t="s">
        <v>55</v>
      </c>
      <c r="F22" s="7" t="n">
        <v>1</v>
      </c>
      <c r="G22" s="7" t="s">
        <v>211</v>
      </c>
      <c r="H22" s="7" t="s">
        <v>59</v>
      </c>
      <c r="I22" s="7" t="s">
        <v>212</v>
      </c>
      <c r="J22" s="7" t="s">
        <v>213</v>
      </c>
      <c r="K22" s="7" t="s">
        <v>214</v>
      </c>
      <c r="L22" s="7" t="s">
        <v>215</v>
      </c>
      <c r="M22" s="7" t="s">
        <v>216</v>
      </c>
      <c r="N22" s="12"/>
      <c r="O22" s="12" t="s">
        <v>40</v>
      </c>
      <c r="P22" s="12"/>
      <c r="Q22" s="12"/>
      <c r="R22" s="13"/>
      <c r="S22" s="12"/>
      <c r="T22" s="12"/>
      <c r="U22" s="12"/>
    </row>
    <row r="23" customFormat="false" ht="22.35" hidden="false" customHeight="false" outlineLevel="0" collapsed="false">
      <c r="A23" s="7" t="s">
        <v>217</v>
      </c>
      <c r="B23" s="7" t="s">
        <v>88</v>
      </c>
      <c r="C23" s="7" t="s">
        <v>209</v>
      </c>
      <c r="D23" s="7" t="s">
        <v>210</v>
      </c>
      <c r="E23" s="7" t="s">
        <v>55</v>
      </c>
      <c r="F23" s="7" t="n">
        <v>1</v>
      </c>
      <c r="G23" s="7" t="s">
        <v>211</v>
      </c>
      <c r="H23" s="7" t="s">
        <v>60</v>
      </c>
      <c r="I23" s="7" t="s">
        <v>218</v>
      </c>
      <c r="J23" s="7" t="s">
        <v>213</v>
      </c>
      <c r="K23" s="7" t="s">
        <v>219</v>
      </c>
      <c r="L23" s="7" t="s">
        <v>161</v>
      </c>
      <c r="M23" s="7" t="s">
        <v>220</v>
      </c>
      <c r="N23" s="12"/>
      <c r="O23" s="12" t="s">
        <v>40</v>
      </c>
      <c r="P23" s="12"/>
      <c r="Q23" s="12"/>
      <c r="R23" s="13"/>
      <c r="S23" s="12"/>
      <c r="T23" s="12"/>
      <c r="U23" s="12"/>
    </row>
    <row r="24" customFormat="false" ht="32.8" hidden="false" customHeight="false" outlineLevel="0" collapsed="false">
      <c r="A24" s="7" t="s">
        <v>221</v>
      </c>
      <c r="B24" s="7" t="s">
        <v>88</v>
      </c>
      <c r="C24" s="7" t="s">
        <v>209</v>
      </c>
      <c r="D24" s="7" t="s">
        <v>210</v>
      </c>
      <c r="E24" s="7" t="s">
        <v>55</v>
      </c>
      <c r="F24" s="7" t="n">
        <v>2</v>
      </c>
      <c r="G24" s="7" t="s">
        <v>222</v>
      </c>
      <c r="H24" s="7" t="s">
        <v>59</v>
      </c>
      <c r="I24" s="7" t="s">
        <v>223</v>
      </c>
      <c r="J24" s="7" t="s">
        <v>213</v>
      </c>
      <c r="K24" s="7" t="s">
        <v>224</v>
      </c>
      <c r="L24" s="7" t="s">
        <v>225</v>
      </c>
      <c r="M24" s="7" t="s">
        <v>226</v>
      </c>
      <c r="N24" s="12"/>
      <c r="O24" s="12" t="s">
        <v>40</v>
      </c>
      <c r="P24" s="12"/>
      <c r="Q24" s="12"/>
      <c r="R24" s="13"/>
      <c r="S24" s="12"/>
      <c r="T24" s="12"/>
      <c r="U24" s="12"/>
    </row>
    <row r="25" customFormat="false" ht="32.8" hidden="false" customHeight="false" outlineLevel="0" collapsed="false">
      <c r="A25" s="7" t="s">
        <v>227</v>
      </c>
      <c r="B25" s="7" t="s">
        <v>88</v>
      </c>
      <c r="C25" s="7" t="s">
        <v>209</v>
      </c>
      <c r="D25" s="7" t="s">
        <v>210</v>
      </c>
      <c r="E25" s="7" t="s">
        <v>55</v>
      </c>
      <c r="F25" s="7" t="n">
        <v>2</v>
      </c>
      <c r="G25" s="7" t="s">
        <v>222</v>
      </c>
      <c r="H25" s="7" t="s">
        <v>60</v>
      </c>
      <c r="I25" s="7" t="s">
        <v>228</v>
      </c>
      <c r="J25" s="7" t="s">
        <v>213</v>
      </c>
      <c r="K25" s="7" t="s">
        <v>229</v>
      </c>
      <c r="L25" s="7" t="s">
        <v>230</v>
      </c>
      <c r="M25" s="7" t="s">
        <v>231</v>
      </c>
      <c r="N25" s="12"/>
      <c r="O25" s="12" t="s">
        <v>40</v>
      </c>
      <c r="P25" s="12"/>
      <c r="Q25" s="12"/>
      <c r="R25" s="13"/>
      <c r="S25" s="12"/>
      <c r="T25" s="12"/>
      <c r="U25" s="12"/>
    </row>
    <row r="26" customFormat="false" ht="22.35" hidden="false" customHeight="false" outlineLevel="0" collapsed="false">
      <c r="A26" s="7" t="s">
        <v>232</v>
      </c>
      <c r="B26" s="7" t="s">
        <v>88</v>
      </c>
      <c r="C26" s="7" t="s">
        <v>209</v>
      </c>
      <c r="D26" s="7" t="s">
        <v>210</v>
      </c>
      <c r="E26" s="7" t="s">
        <v>55</v>
      </c>
      <c r="F26" s="7" t="n">
        <v>3</v>
      </c>
      <c r="G26" s="7" t="s">
        <v>233</v>
      </c>
      <c r="H26" s="7" t="s">
        <v>59</v>
      </c>
      <c r="I26" s="7" t="s">
        <v>234</v>
      </c>
      <c r="J26" s="7" t="s">
        <v>213</v>
      </c>
      <c r="K26" s="7" t="s">
        <v>235</v>
      </c>
      <c r="L26" s="7" t="s">
        <v>236</v>
      </c>
      <c r="M26" s="7" t="s">
        <v>237</v>
      </c>
      <c r="N26" s="12"/>
      <c r="O26" s="12" t="s">
        <v>40</v>
      </c>
      <c r="P26" s="12"/>
      <c r="Q26" s="12"/>
      <c r="R26" s="13"/>
      <c r="S26" s="12"/>
      <c r="T26" s="12"/>
      <c r="U26" s="12"/>
    </row>
    <row r="27" customFormat="false" ht="32.8" hidden="false" customHeight="false" outlineLevel="0" collapsed="false">
      <c r="A27" s="7" t="s">
        <v>238</v>
      </c>
      <c r="B27" s="7" t="s">
        <v>88</v>
      </c>
      <c r="C27" s="7" t="s">
        <v>209</v>
      </c>
      <c r="D27" s="7" t="s">
        <v>210</v>
      </c>
      <c r="E27" s="7" t="s">
        <v>55</v>
      </c>
      <c r="F27" s="7" t="n">
        <v>3</v>
      </c>
      <c r="G27" s="7" t="s">
        <v>233</v>
      </c>
      <c r="H27" s="7" t="s">
        <v>60</v>
      </c>
      <c r="I27" s="7" t="s">
        <v>239</v>
      </c>
      <c r="J27" s="7" t="s">
        <v>213</v>
      </c>
      <c r="K27" s="7" t="s">
        <v>240</v>
      </c>
      <c r="L27" s="7" t="s">
        <v>241</v>
      </c>
      <c r="M27" s="7" t="s">
        <v>242</v>
      </c>
      <c r="N27" s="12"/>
      <c r="O27" s="12" t="s">
        <v>40</v>
      </c>
      <c r="P27" s="12"/>
      <c r="Q27" s="12"/>
      <c r="R27" s="13"/>
      <c r="S27" s="12"/>
      <c r="T27" s="12"/>
      <c r="U27" s="12"/>
    </row>
    <row r="28" customFormat="false" ht="22.35" hidden="false" customHeight="false" outlineLevel="0" collapsed="false">
      <c r="A28" s="7" t="s">
        <v>243</v>
      </c>
      <c r="B28" s="7" t="s">
        <v>88</v>
      </c>
      <c r="C28" s="7" t="s">
        <v>244</v>
      </c>
      <c r="D28" s="7" t="s">
        <v>245</v>
      </c>
      <c r="E28" s="7" t="s">
        <v>56</v>
      </c>
      <c r="F28" s="7" t="n">
        <v>1</v>
      </c>
      <c r="G28" s="7" t="s">
        <v>246</v>
      </c>
      <c r="H28" s="7" t="s">
        <v>59</v>
      </c>
      <c r="I28" s="7" t="s">
        <v>247</v>
      </c>
      <c r="J28" s="7" t="s">
        <v>248</v>
      </c>
      <c r="K28" s="7" t="s">
        <v>249</v>
      </c>
      <c r="L28" s="7" t="s">
        <v>136</v>
      </c>
      <c r="M28" s="7" t="s">
        <v>250</v>
      </c>
      <c r="N28" s="12"/>
      <c r="O28" s="12" t="s">
        <v>40</v>
      </c>
      <c r="P28" s="12"/>
      <c r="Q28" s="12"/>
      <c r="R28" s="13"/>
      <c r="S28" s="12"/>
      <c r="T28" s="12"/>
      <c r="U28" s="12"/>
    </row>
    <row r="29" customFormat="false" ht="43.25" hidden="false" customHeight="false" outlineLevel="0" collapsed="false">
      <c r="A29" s="7" t="s">
        <v>251</v>
      </c>
      <c r="B29" s="7" t="s">
        <v>88</v>
      </c>
      <c r="C29" s="7" t="s">
        <v>244</v>
      </c>
      <c r="D29" s="7" t="s">
        <v>245</v>
      </c>
      <c r="E29" s="7" t="s">
        <v>56</v>
      </c>
      <c r="F29" s="7" t="n">
        <v>1</v>
      </c>
      <c r="G29" s="7" t="s">
        <v>246</v>
      </c>
      <c r="H29" s="7" t="s">
        <v>60</v>
      </c>
      <c r="I29" s="7" t="s">
        <v>252</v>
      </c>
      <c r="J29" s="7" t="s">
        <v>248</v>
      </c>
      <c r="K29" s="7" t="s">
        <v>253</v>
      </c>
      <c r="L29" s="7" t="s">
        <v>254</v>
      </c>
      <c r="M29" s="7" t="s">
        <v>255</v>
      </c>
      <c r="N29" s="12"/>
      <c r="O29" s="12" t="s">
        <v>40</v>
      </c>
      <c r="P29" s="12"/>
      <c r="Q29" s="12"/>
      <c r="R29" s="13"/>
      <c r="S29" s="12"/>
      <c r="T29" s="12"/>
      <c r="U29" s="12"/>
    </row>
    <row r="30" customFormat="false" ht="32.8" hidden="false" customHeight="false" outlineLevel="0" collapsed="false">
      <c r="A30" s="7" t="s">
        <v>256</v>
      </c>
      <c r="B30" s="7" t="s">
        <v>88</v>
      </c>
      <c r="C30" s="7" t="s">
        <v>244</v>
      </c>
      <c r="D30" s="7" t="s">
        <v>245</v>
      </c>
      <c r="E30" s="7" t="s">
        <v>56</v>
      </c>
      <c r="F30" s="7" t="n">
        <v>2</v>
      </c>
      <c r="G30" s="7" t="s">
        <v>257</v>
      </c>
      <c r="H30" s="7" t="s">
        <v>59</v>
      </c>
      <c r="I30" s="7" t="s">
        <v>258</v>
      </c>
      <c r="J30" s="7" t="s">
        <v>248</v>
      </c>
      <c r="K30" s="7" t="s">
        <v>259</v>
      </c>
      <c r="L30" s="7" t="s">
        <v>136</v>
      </c>
      <c r="M30" s="7" t="s">
        <v>260</v>
      </c>
      <c r="N30" s="12"/>
      <c r="O30" s="12" t="s">
        <v>40</v>
      </c>
      <c r="P30" s="12"/>
      <c r="Q30" s="12"/>
      <c r="R30" s="13"/>
      <c r="S30" s="12"/>
      <c r="T30" s="12"/>
      <c r="U30" s="12"/>
    </row>
    <row r="31" customFormat="false" ht="22.35" hidden="false" customHeight="false" outlineLevel="0" collapsed="false">
      <c r="A31" s="7" t="s">
        <v>261</v>
      </c>
      <c r="B31" s="7" t="s">
        <v>88</v>
      </c>
      <c r="C31" s="7" t="s">
        <v>244</v>
      </c>
      <c r="D31" s="7" t="s">
        <v>245</v>
      </c>
      <c r="E31" s="7" t="s">
        <v>56</v>
      </c>
      <c r="F31" s="7" t="n">
        <v>2</v>
      </c>
      <c r="G31" s="7" t="s">
        <v>257</v>
      </c>
      <c r="H31" s="7" t="s">
        <v>60</v>
      </c>
      <c r="I31" s="7" t="s">
        <v>262</v>
      </c>
      <c r="J31" s="7" t="s">
        <v>248</v>
      </c>
      <c r="K31" s="7" t="s">
        <v>263</v>
      </c>
      <c r="L31" s="7" t="s">
        <v>264</v>
      </c>
      <c r="M31" s="7" t="s">
        <v>265</v>
      </c>
      <c r="N31" s="12"/>
      <c r="O31" s="12" t="s">
        <v>40</v>
      </c>
      <c r="P31" s="12"/>
      <c r="Q31" s="12"/>
      <c r="R31" s="13"/>
      <c r="S31" s="12"/>
      <c r="T31" s="12"/>
      <c r="U31" s="12"/>
    </row>
    <row r="32" customFormat="false" ht="32.8" hidden="false" customHeight="false" outlineLevel="0" collapsed="false">
      <c r="A32" s="7" t="s">
        <v>266</v>
      </c>
      <c r="B32" s="7" t="s">
        <v>88</v>
      </c>
      <c r="C32" s="7" t="s">
        <v>267</v>
      </c>
      <c r="D32" s="7" t="s">
        <v>268</v>
      </c>
      <c r="E32" s="7" t="s">
        <v>56</v>
      </c>
      <c r="F32" s="7" t="n">
        <v>1</v>
      </c>
      <c r="G32" s="7" t="s">
        <v>269</v>
      </c>
      <c r="H32" s="7" t="s">
        <v>59</v>
      </c>
      <c r="I32" s="7" t="s">
        <v>270</v>
      </c>
      <c r="J32" s="7" t="s">
        <v>271</v>
      </c>
      <c r="K32" s="7" t="s">
        <v>272</v>
      </c>
      <c r="L32" s="7" t="s">
        <v>136</v>
      </c>
      <c r="M32" s="7" t="s">
        <v>273</v>
      </c>
      <c r="N32" s="12"/>
      <c r="O32" s="12" t="s">
        <v>40</v>
      </c>
      <c r="P32" s="12"/>
      <c r="Q32" s="12"/>
      <c r="R32" s="13"/>
      <c r="S32" s="12"/>
      <c r="T32" s="12"/>
      <c r="U32" s="12"/>
    </row>
    <row r="33" customFormat="false" ht="32.8" hidden="false" customHeight="false" outlineLevel="0" collapsed="false">
      <c r="A33" s="7" t="s">
        <v>274</v>
      </c>
      <c r="B33" s="7" t="s">
        <v>88</v>
      </c>
      <c r="C33" s="7" t="s">
        <v>267</v>
      </c>
      <c r="D33" s="7" t="s">
        <v>268</v>
      </c>
      <c r="E33" s="7" t="s">
        <v>56</v>
      </c>
      <c r="F33" s="7" t="n">
        <v>1</v>
      </c>
      <c r="G33" s="7" t="s">
        <v>269</v>
      </c>
      <c r="H33" s="7" t="s">
        <v>60</v>
      </c>
      <c r="I33" s="7" t="s">
        <v>275</v>
      </c>
      <c r="J33" s="7" t="s">
        <v>271</v>
      </c>
      <c r="K33" s="7" t="s">
        <v>276</v>
      </c>
      <c r="L33" s="7" t="s">
        <v>277</v>
      </c>
      <c r="M33" s="7" t="s">
        <v>278</v>
      </c>
      <c r="N33" s="12"/>
      <c r="O33" s="12" t="s">
        <v>40</v>
      </c>
      <c r="P33" s="12"/>
      <c r="Q33" s="12"/>
      <c r="R33" s="13"/>
      <c r="S33" s="12"/>
      <c r="T33" s="12"/>
      <c r="U33" s="12"/>
    </row>
    <row r="34" customFormat="false" ht="32.8" hidden="false" customHeight="false" outlineLevel="0" collapsed="false">
      <c r="A34" s="7" t="s">
        <v>279</v>
      </c>
      <c r="B34" s="7" t="s">
        <v>88</v>
      </c>
      <c r="C34" s="7" t="s">
        <v>267</v>
      </c>
      <c r="D34" s="7" t="s">
        <v>268</v>
      </c>
      <c r="E34" s="7" t="s">
        <v>56</v>
      </c>
      <c r="F34" s="7" t="n">
        <v>2</v>
      </c>
      <c r="G34" s="7" t="s">
        <v>280</v>
      </c>
      <c r="H34" s="7" t="s">
        <v>59</v>
      </c>
      <c r="I34" s="7" t="s">
        <v>281</v>
      </c>
      <c r="J34" s="7" t="s">
        <v>271</v>
      </c>
      <c r="K34" s="7" t="s">
        <v>282</v>
      </c>
      <c r="L34" s="7" t="s">
        <v>283</v>
      </c>
      <c r="M34" s="7" t="s">
        <v>284</v>
      </c>
      <c r="N34" s="12"/>
      <c r="O34" s="12" t="s">
        <v>40</v>
      </c>
      <c r="P34" s="12"/>
      <c r="Q34" s="12"/>
      <c r="R34" s="13"/>
      <c r="S34" s="12"/>
      <c r="T34" s="12"/>
      <c r="U34" s="12"/>
    </row>
    <row r="35" customFormat="false" ht="32.8" hidden="false" customHeight="false" outlineLevel="0" collapsed="false">
      <c r="A35" s="7" t="s">
        <v>285</v>
      </c>
      <c r="B35" s="7" t="s">
        <v>88</v>
      </c>
      <c r="C35" s="7" t="s">
        <v>267</v>
      </c>
      <c r="D35" s="7" t="s">
        <v>268</v>
      </c>
      <c r="E35" s="7" t="s">
        <v>56</v>
      </c>
      <c r="F35" s="7" t="n">
        <v>2</v>
      </c>
      <c r="G35" s="7" t="s">
        <v>280</v>
      </c>
      <c r="H35" s="7" t="s">
        <v>60</v>
      </c>
      <c r="I35" s="7" t="s">
        <v>286</v>
      </c>
      <c r="J35" s="7" t="s">
        <v>271</v>
      </c>
      <c r="K35" s="7" t="s">
        <v>287</v>
      </c>
      <c r="L35" s="7" t="s">
        <v>288</v>
      </c>
      <c r="M35" s="7" t="s">
        <v>289</v>
      </c>
      <c r="N35" s="12"/>
      <c r="O35" s="12" t="s">
        <v>40</v>
      </c>
      <c r="P35" s="12"/>
      <c r="Q35" s="12"/>
      <c r="R35" s="13"/>
      <c r="S35" s="12"/>
      <c r="T35" s="12"/>
      <c r="U35" s="12"/>
    </row>
    <row r="36" customFormat="false" ht="43.25" hidden="false" customHeight="false" outlineLevel="0" collapsed="false">
      <c r="A36" s="7" t="s">
        <v>290</v>
      </c>
      <c r="B36" s="7" t="s">
        <v>88</v>
      </c>
      <c r="C36" s="7" t="s">
        <v>291</v>
      </c>
      <c r="D36" s="7" t="s">
        <v>292</v>
      </c>
      <c r="E36" s="7" t="s">
        <v>55</v>
      </c>
      <c r="F36" s="7" t="n">
        <v>1</v>
      </c>
      <c r="G36" s="7" t="s">
        <v>293</v>
      </c>
      <c r="H36" s="7" t="s">
        <v>59</v>
      </c>
      <c r="I36" s="7" t="s">
        <v>294</v>
      </c>
      <c r="J36" s="7" t="s">
        <v>295</v>
      </c>
      <c r="K36" s="7" t="s">
        <v>296</v>
      </c>
      <c r="L36" s="7" t="s">
        <v>297</v>
      </c>
      <c r="M36" s="7" t="s">
        <v>298</v>
      </c>
      <c r="N36" s="12"/>
      <c r="O36" s="12" t="s">
        <v>40</v>
      </c>
      <c r="P36" s="12"/>
      <c r="Q36" s="12"/>
      <c r="R36" s="13"/>
      <c r="S36" s="12"/>
      <c r="T36" s="12"/>
      <c r="U36" s="12"/>
    </row>
    <row r="37" customFormat="false" ht="22.35" hidden="false" customHeight="false" outlineLevel="0" collapsed="false">
      <c r="A37" s="7" t="s">
        <v>299</v>
      </c>
      <c r="B37" s="7" t="s">
        <v>88</v>
      </c>
      <c r="C37" s="7" t="s">
        <v>291</v>
      </c>
      <c r="D37" s="7" t="s">
        <v>292</v>
      </c>
      <c r="E37" s="7" t="s">
        <v>55</v>
      </c>
      <c r="F37" s="7" t="n">
        <v>1</v>
      </c>
      <c r="G37" s="7" t="s">
        <v>293</v>
      </c>
      <c r="H37" s="7" t="s">
        <v>60</v>
      </c>
      <c r="I37" s="7" t="s">
        <v>300</v>
      </c>
      <c r="J37" s="7" t="s">
        <v>295</v>
      </c>
      <c r="K37" s="7" t="s">
        <v>301</v>
      </c>
      <c r="L37" s="7" t="s">
        <v>302</v>
      </c>
      <c r="M37" s="7" t="s">
        <v>303</v>
      </c>
      <c r="N37" s="12"/>
      <c r="O37" s="12" t="s">
        <v>40</v>
      </c>
      <c r="P37" s="12"/>
      <c r="Q37" s="12"/>
      <c r="R37" s="13"/>
      <c r="S37" s="12"/>
      <c r="T37" s="12"/>
      <c r="U37" s="12"/>
    </row>
    <row r="38" customFormat="false" ht="22.35" hidden="false" customHeight="false" outlineLevel="0" collapsed="false">
      <c r="A38" s="7" t="s">
        <v>304</v>
      </c>
      <c r="B38" s="7" t="s">
        <v>88</v>
      </c>
      <c r="C38" s="7" t="s">
        <v>291</v>
      </c>
      <c r="D38" s="7" t="s">
        <v>292</v>
      </c>
      <c r="E38" s="7" t="s">
        <v>55</v>
      </c>
      <c r="F38" s="7" t="n">
        <v>2</v>
      </c>
      <c r="G38" s="7" t="s">
        <v>305</v>
      </c>
      <c r="H38" s="7" t="s">
        <v>59</v>
      </c>
      <c r="I38" s="7" t="s">
        <v>306</v>
      </c>
      <c r="J38" s="7" t="s">
        <v>295</v>
      </c>
      <c r="K38" s="7" t="s">
        <v>307</v>
      </c>
      <c r="L38" s="7" t="s">
        <v>308</v>
      </c>
      <c r="M38" s="7" t="s">
        <v>309</v>
      </c>
      <c r="N38" s="12"/>
      <c r="O38" s="12" t="s">
        <v>40</v>
      </c>
      <c r="P38" s="12"/>
      <c r="Q38" s="12"/>
      <c r="R38" s="13"/>
      <c r="S38" s="12"/>
      <c r="T38" s="12"/>
      <c r="U38" s="12"/>
    </row>
    <row r="39" customFormat="false" ht="22.35" hidden="false" customHeight="false" outlineLevel="0" collapsed="false">
      <c r="A39" s="7" t="s">
        <v>310</v>
      </c>
      <c r="B39" s="7" t="s">
        <v>88</v>
      </c>
      <c r="C39" s="7" t="s">
        <v>291</v>
      </c>
      <c r="D39" s="7" t="s">
        <v>292</v>
      </c>
      <c r="E39" s="7" t="s">
        <v>55</v>
      </c>
      <c r="F39" s="7" t="n">
        <v>2</v>
      </c>
      <c r="G39" s="7" t="s">
        <v>305</v>
      </c>
      <c r="H39" s="7" t="s">
        <v>60</v>
      </c>
      <c r="I39" s="7" t="s">
        <v>311</v>
      </c>
      <c r="J39" s="7" t="s">
        <v>295</v>
      </c>
      <c r="K39" s="7" t="s">
        <v>312</v>
      </c>
      <c r="L39" s="7" t="s">
        <v>136</v>
      </c>
      <c r="M39" s="7" t="s">
        <v>313</v>
      </c>
      <c r="N39" s="12"/>
      <c r="O39" s="12" t="s">
        <v>40</v>
      </c>
      <c r="P39" s="12"/>
      <c r="Q39" s="12"/>
      <c r="R39" s="13"/>
      <c r="S39" s="12"/>
      <c r="T39" s="12"/>
      <c r="U39" s="12"/>
    </row>
    <row r="40" customFormat="false" ht="22.35" hidden="false" customHeight="false" outlineLevel="0" collapsed="false">
      <c r="A40" s="7" t="s">
        <v>314</v>
      </c>
      <c r="B40" s="7" t="s">
        <v>88</v>
      </c>
      <c r="C40" s="7" t="s">
        <v>291</v>
      </c>
      <c r="D40" s="7" t="s">
        <v>292</v>
      </c>
      <c r="E40" s="7" t="s">
        <v>55</v>
      </c>
      <c r="F40" s="7" t="n">
        <v>3</v>
      </c>
      <c r="G40" s="7" t="s">
        <v>315</v>
      </c>
      <c r="H40" s="7" t="s">
        <v>59</v>
      </c>
      <c r="I40" s="7" t="s">
        <v>316</v>
      </c>
      <c r="J40" s="7" t="s">
        <v>295</v>
      </c>
      <c r="K40" s="7" t="s">
        <v>317</v>
      </c>
      <c r="L40" s="7" t="s">
        <v>318</v>
      </c>
      <c r="M40" s="7" t="s">
        <v>319</v>
      </c>
      <c r="N40" s="12"/>
      <c r="O40" s="12" t="s">
        <v>40</v>
      </c>
      <c r="P40" s="12"/>
      <c r="Q40" s="12"/>
      <c r="R40" s="13"/>
      <c r="S40" s="12"/>
      <c r="T40" s="12"/>
      <c r="U40" s="12"/>
    </row>
    <row r="41" customFormat="false" ht="22.35" hidden="false" customHeight="false" outlineLevel="0" collapsed="false">
      <c r="A41" s="7" t="s">
        <v>320</v>
      </c>
      <c r="B41" s="7" t="s">
        <v>88</v>
      </c>
      <c r="C41" s="7" t="s">
        <v>291</v>
      </c>
      <c r="D41" s="7" t="s">
        <v>292</v>
      </c>
      <c r="E41" s="7" t="s">
        <v>55</v>
      </c>
      <c r="F41" s="7" t="n">
        <v>3</v>
      </c>
      <c r="G41" s="7" t="s">
        <v>315</v>
      </c>
      <c r="H41" s="7" t="s">
        <v>60</v>
      </c>
      <c r="I41" s="7" t="s">
        <v>321</v>
      </c>
      <c r="J41" s="7" t="s">
        <v>295</v>
      </c>
      <c r="K41" s="7" t="s">
        <v>322</v>
      </c>
      <c r="L41" s="7" t="s">
        <v>323</v>
      </c>
      <c r="M41" s="7" t="s">
        <v>324</v>
      </c>
      <c r="N41" s="12"/>
      <c r="O41" s="12" t="s">
        <v>40</v>
      </c>
      <c r="P41" s="12"/>
      <c r="Q41" s="12"/>
      <c r="R41" s="13"/>
      <c r="S41" s="12"/>
      <c r="T41" s="12"/>
      <c r="U41" s="12"/>
    </row>
    <row r="42" customFormat="false" ht="32.8" hidden="false" customHeight="false" outlineLevel="0" collapsed="false">
      <c r="A42" s="7" t="s">
        <v>325</v>
      </c>
      <c r="B42" s="7" t="s">
        <v>326</v>
      </c>
      <c r="C42" s="7" t="s">
        <v>327</v>
      </c>
      <c r="D42" s="7" t="s">
        <v>328</v>
      </c>
      <c r="E42" s="7" t="s">
        <v>56</v>
      </c>
      <c r="F42" s="7" t="n">
        <v>1</v>
      </c>
      <c r="G42" s="7" t="s">
        <v>329</v>
      </c>
      <c r="H42" s="7" t="s">
        <v>59</v>
      </c>
      <c r="I42" s="7" t="s">
        <v>330</v>
      </c>
      <c r="J42" s="7" t="s">
        <v>331</v>
      </c>
      <c r="K42" s="7" t="s">
        <v>332</v>
      </c>
      <c r="L42" s="7" t="s">
        <v>136</v>
      </c>
      <c r="M42" s="7" t="s">
        <v>333</v>
      </c>
      <c r="N42" s="12"/>
      <c r="O42" s="12" t="s">
        <v>40</v>
      </c>
      <c r="P42" s="12"/>
      <c r="Q42" s="12"/>
      <c r="R42" s="13"/>
      <c r="S42" s="12"/>
      <c r="T42" s="12"/>
      <c r="U42" s="12"/>
    </row>
    <row r="43" customFormat="false" ht="32.8" hidden="false" customHeight="false" outlineLevel="0" collapsed="false">
      <c r="A43" s="7" t="s">
        <v>334</v>
      </c>
      <c r="B43" s="7" t="s">
        <v>326</v>
      </c>
      <c r="C43" s="7" t="s">
        <v>327</v>
      </c>
      <c r="D43" s="7" t="s">
        <v>328</v>
      </c>
      <c r="E43" s="7" t="s">
        <v>56</v>
      </c>
      <c r="F43" s="7" t="n">
        <v>1</v>
      </c>
      <c r="G43" s="7" t="s">
        <v>329</v>
      </c>
      <c r="H43" s="7" t="s">
        <v>60</v>
      </c>
      <c r="I43" s="7" t="s">
        <v>335</v>
      </c>
      <c r="J43" s="7" t="s">
        <v>331</v>
      </c>
      <c r="K43" s="7" t="s">
        <v>336</v>
      </c>
      <c r="L43" s="7" t="s">
        <v>337</v>
      </c>
      <c r="M43" s="7" t="s">
        <v>338</v>
      </c>
      <c r="N43" s="12"/>
      <c r="O43" s="12" t="s">
        <v>40</v>
      </c>
      <c r="P43" s="12"/>
      <c r="Q43" s="12"/>
      <c r="R43" s="13"/>
      <c r="S43" s="12"/>
      <c r="T43" s="12"/>
      <c r="U43" s="12"/>
    </row>
    <row r="44" customFormat="false" ht="32.8" hidden="false" customHeight="false" outlineLevel="0" collapsed="false">
      <c r="A44" s="7" t="s">
        <v>339</v>
      </c>
      <c r="B44" s="7" t="s">
        <v>326</v>
      </c>
      <c r="C44" s="7" t="s">
        <v>327</v>
      </c>
      <c r="D44" s="7" t="s">
        <v>328</v>
      </c>
      <c r="E44" s="7" t="s">
        <v>56</v>
      </c>
      <c r="F44" s="7" t="n">
        <v>2</v>
      </c>
      <c r="G44" s="7" t="s">
        <v>340</v>
      </c>
      <c r="H44" s="7" t="s">
        <v>59</v>
      </c>
      <c r="I44" s="7" t="s">
        <v>341</v>
      </c>
      <c r="J44" s="7" t="s">
        <v>331</v>
      </c>
      <c r="K44" s="7" t="s">
        <v>342</v>
      </c>
      <c r="L44" s="7" t="s">
        <v>136</v>
      </c>
      <c r="M44" s="7" t="s">
        <v>343</v>
      </c>
      <c r="N44" s="12"/>
      <c r="O44" s="12" t="s">
        <v>40</v>
      </c>
      <c r="P44" s="12"/>
      <c r="Q44" s="12"/>
      <c r="R44" s="13"/>
      <c r="S44" s="12"/>
      <c r="T44" s="12"/>
      <c r="U44" s="12"/>
    </row>
    <row r="45" customFormat="false" ht="32.8" hidden="false" customHeight="false" outlineLevel="0" collapsed="false">
      <c r="A45" s="7" t="s">
        <v>344</v>
      </c>
      <c r="B45" s="7" t="s">
        <v>326</v>
      </c>
      <c r="C45" s="7" t="s">
        <v>327</v>
      </c>
      <c r="D45" s="7" t="s">
        <v>328</v>
      </c>
      <c r="E45" s="7" t="s">
        <v>56</v>
      </c>
      <c r="F45" s="7" t="n">
        <v>2</v>
      </c>
      <c r="G45" s="7" t="s">
        <v>340</v>
      </c>
      <c r="H45" s="7" t="s">
        <v>60</v>
      </c>
      <c r="I45" s="7" t="s">
        <v>345</v>
      </c>
      <c r="J45" s="7" t="s">
        <v>331</v>
      </c>
      <c r="K45" s="7" t="s">
        <v>346</v>
      </c>
      <c r="L45" s="7" t="s">
        <v>136</v>
      </c>
      <c r="M45" s="7" t="s">
        <v>347</v>
      </c>
      <c r="N45" s="12"/>
      <c r="O45" s="12" t="s">
        <v>40</v>
      </c>
      <c r="P45" s="12"/>
      <c r="Q45" s="12"/>
      <c r="R45" s="13"/>
      <c r="S45" s="12"/>
      <c r="T45" s="12"/>
      <c r="U45" s="12"/>
    </row>
    <row r="46" customFormat="false" ht="32.8" hidden="false" customHeight="false" outlineLevel="0" collapsed="false">
      <c r="A46" s="7" t="s">
        <v>348</v>
      </c>
      <c r="B46" s="7" t="s">
        <v>326</v>
      </c>
      <c r="C46" s="7" t="s">
        <v>327</v>
      </c>
      <c r="D46" s="7" t="s">
        <v>328</v>
      </c>
      <c r="E46" s="7" t="s">
        <v>56</v>
      </c>
      <c r="F46" s="7" t="n">
        <v>3</v>
      </c>
      <c r="G46" s="7" t="s">
        <v>349</v>
      </c>
      <c r="H46" s="7" t="s">
        <v>59</v>
      </c>
      <c r="I46" s="7" t="s">
        <v>350</v>
      </c>
      <c r="J46" s="7" t="s">
        <v>331</v>
      </c>
      <c r="K46" s="7" t="s">
        <v>351</v>
      </c>
      <c r="L46" s="7" t="s">
        <v>352</v>
      </c>
      <c r="M46" s="7" t="s">
        <v>353</v>
      </c>
      <c r="N46" s="12"/>
      <c r="O46" s="12" t="s">
        <v>40</v>
      </c>
      <c r="P46" s="12"/>
      <c r="Q46" s="12"/>
      <c r="R46" s="13"/>
      <c r="S46" s="12"/>
      <c r="T46" s="12"/>
      <c r="U46" s="12"/>
    </row>
    <row r="47" customFormat="false" ht="32.8" hidden="false" customHeight="false" outlineLevel="0" collapsed="false">
      <c r="A47" s="7" t="s">
        <v>354</v>
      </c>
      <c r="B47" s="7" t="s">
        <v>326</v>
      </c>
      <c r="C47" s="7" t="s">
        <v>327</v>
      </c>
      <c r="D47" s="7" t="s">
        <v>328</v>
      </c>
      <c r="E47" s="7" t="s">
        <v>56</v>
      </c>
      <c r="F47" s="7" t="n">
        <v>3</v>
      </c>
      <c r="G47" s="7" t="s">
        <v>349</v>
      </c>
      <c r="H47" s="7" t="s">
        <v>60</v>
      </c>
      <c r="I47" s="7" t="s">
        <v>355</v>
      </c>
      <c r="J47" s="7" t="s">
        <v>331</v>
      </c>
      <c r="K47" s="7" t="s">
        <v>356</v>
      </c>
      <c r="L47" s="7" t="s">
        <v>136</v>
      </c>
      <c r="M47" s="7" t="s">
        <v>357</v>
      </c>
      <c r="N47" s="12"/>
      <c r="O47" s="12" t="s">
        <v>40</v>
      </c>
      <c r="P47" s="12"/>
      <c r="Q47" s="12"/>
      <c r="R47" s="13"/>
      <c r="S47" s="12"/>
      <c r="T47" s="12"/>
      <c r="U47" s="12"/>
    </row>
    <row r="48" customFormat="false" ht="22.35" hidden="false" customHeight="false" outlineLevel="0" collapsed="false">
      <c r="A48" s="7" t="s">
        <v>358</v>
      </c>
      <c r="B48" s="7" t="s">
        <v>326</v>
      </c>
      <c r="C48" s="7" t="s">
        <v>359</v>
      </c>
      <c r="D48" s="7" t="s">
        <v>360</v>
      </c>
      <c r="E48" s="7" t="s">
        <v>56</v>
      </c>
      <c r="F48" s="7" t="n">
        <v>1</v>
      </c>
      <c r="G48" s="7" t="s">
        <v>361</v>
      </c>
      <c r="H48" s="7" t="s">
        <v>59</v>
      </c>
      <c r="I48" s="7" t="s">
        <v>362</v>
      </c>
      <c r="J48" s="7" t="s">
        <v>363</v>
      </c>
      <c r="K48" s="7" t="s">
        <v>364</v>
      </c>
      <c r="L48" s="7" t="s">
        <v>365</v>
      </c>
      <c r="M48" s="7" t="s">
        <v>366</v>
      </c>
      <c r="N48" s="12"/>
      <c r="O48" s="12" t="s">
        <v>40</v>
      </c>
      <c r="P48" s="12"/>
      <c r="Q48" s="12"/>
      <c r="R48" s="13"/>
      <c r="S48" s="12"/>
      <c r="T48" s="12"/>
      <c r="U48" s="12"/>
    </row>
    <row r="49" customFormat="false" ht="22.35" hidden="false" customHeight="false" outlineLevel="0" collapsed="false">
      <c r="A49" s="7" t="s">
        <v>367</v>
      </c>
      <c r="B49" s="7" t="s">
        <v>326</v>
      </c>
      <c r="C49" s="7" t="s">
        <v>359</v>
      </c>
      <c r="D49" s="7" t="s">
        <v>360</v>
      </c>
      <c r="E49" s="7" t="s">
        <v>56</v>
      </c>
      <c r="F49" s="7" t="n">
        <v>1</v>
      </c>
      <c r="G49" s="7" t="s">
        <v>361</v>
      </c>
      <c r="H49" s="7" t="s">
        <v>60</v>
      </c>
      <c r="I49" s="7" t="s">
        <v>368</v>
      </c>
      <c r="J49" s="7" t="s">
        <v>363</v>
      </c>
      <c r="K49" s="7" t="s">
        <v>369</v>
      </c>
      <c r="L49" s="7" t="s">
        <v>136</v>
      </c>
      <c r="M49" s="7" t="s">
        <v>370</v>
      </c>
      <c r="N49" s="12"/>
      <c r="O49" s="12" t="s">
        <v>40</v>
      </c>
      <c r="P49" s="12"/>
      <c r="Q49" s="12"/>
      <c r="R49" s="13"/>
      <c r="S49" s="12"/>
      <c r="T49" s="12"/>
      <c r="U49" s="12"/>
    </row>
    <row r="50" customFormat="false" ht="32.8" hidden="false" customHeight="false" outlineLevel="0" collapsed="false">
      <c r="A50" s="7" t="s">
        <v>371</v>
      </c>
      <c r="B50" s="7" t="s">
        <v>326</v>
      </c>
      <c r="C50" s="7" t="s">
        <v>359</v>
      </c>
      <c r="D50" s="7" t="s">
        <v>360</v>
      </c>
      <c r="E50" s="7" t="s">
        <v>56</v>
      </c>
      <c r="F50" s="7" t="n">
        <v>2</v>
      </c>
      <c r="G50" s="7" t="s">
        <v>372</v>
      </c>
      <c r="H50" s="7" t="s">
        <v>59</v>
      </c>
      <c r="I50" s="7" t="s">
        <v>373</v>
      </c>
      <c r="J50" s="7" t="s">
        <v>363</v>
      </c>
      <c r="K50" s="7" t="s">
        <v>374</v>
      </c>
      <c r="L50" s="7" t="s">
        <v>375</v>
      </c>
      <c r="M50" s="7" t="s">
        <v>376</v>
      </c>
      <c r="N50" s="12"/>
      <c r="O50" s="12" t="s">
        <v>40</v>
      </c>
      <c r="P50" s="12"/>
      <c r="Q50" s="12"/>
      <c r="R50" s="13"/>
      <c r="S50" s="12"/>
      <c r="T50" s="12"/>
      <c r="U50" s="12"/>
    </row>
    <row r="51" customFormat="false" ht="32.8" hidden="false" customHeight="false" outlineLevel="0" collapsed="false">
      <c r="A51" s="7" t="s">
        <v>377</v>
      </c>
      <c r="B51" s="7" t="s">
        <v>326</v>
      </c>
      <c r="C51" s="7" t="s">
        <v>359</v>
      </c>
      <c r="D51" s="7" t="s">
        <v>360</v>
      </c>
      <c r="E51" s="7" t="s">
        <v>56</v>
      </c>
      <c r="F51" s="7" t="n">
        <v>2</v>
      </c>
      <c r="G51" s="7" t="s">
        <v>372</v>
      </c>
      <c r="H51" s="7" t="s">
        <v>60</v>
      </c>
      <c r="I51" s="7" t="s">
        <v>378</v>
      </c>
      <c r="J51" s="7" t="s">
        <v>363</v>
      </c>
      <c r="K51" s="7" t="s">
        <v>379</v>
      </c>
      <c r="L51" s="7" t="s">
        <v>380</v>
      </c>
      <c r="M51" s="7" t="s">
        <v>381</v>
      </c>
      <c r="N51" s="12"/>
      <c r="O51" s="12" t="s">
        <v>40</v>
      </c>
      <c r="P51" s="12"/>
      <c r="Q51" s="12"/>
      <c r="R51" s="13"/>
      <c r="S51" s="12"/>
      <c r="T51" s="12"/>
      <c r="U51" s="12"/>
    </row>
    <row r="52" customFormat="false" ht="22.35" hidden="false" customHeight="false" outlineLevel="0" collapsed="false">
      <c r="A52" s="7" t="s">
        <v>382</v>
      </c>
      <c r="B52" s="7" t="s">
        <v>326</v>
      </c>
      <c r="C52" s="7" t="s">
        <v>359</v>
      </c>
      <c r="D52" s="7" t="s">
        <v>360</v>
      </c>
      <c r="E52" s="7" t="s">
        <v>56</v>
      </c>
      <c r="F52" s="7" t="n">
        <v>3</v>
      </c>
      <c r="G52" s="7" t="s">
        <v>383</v>
      </c>
      <c r="H52" s="7" t="s">
        <v>59</v>
      </c>
      <c r="I52" s="7" t="s">
        <v>384</v>
      </c>
      <c r="J52" s="7" t="s">
        <v>363</v>
      </c>
      <c r="K52" s="7" t="s">
        <v>385</v>
      </c>
      <c r="L52" s="7" t="s">
        <v>386</v>
      </c>
      <c r="M52" s="7" t="s">
        <v>387</v>
      </c>
      <c r="N52" s="12"/>
      <c r="O52" s="12" t="s">
        <v>40</v>
      </c>
      <c r="P52" s="12"/>
      <c r="Q52" s="12"/>
      <c r="R52" s="13"/>
      <c r="S52" s="12"/>
      <c r="T52" s="12"/>
      <c r="U52" s="12"/>
    </row>
    <row r="53" customFormat="false" ht="22.35" hidden="false" customHeight="false" outlineLevel="0" collapsed="false">
      <c r="A53" s="7" t="s">
        <v>388</v>
      </c>
      <c r="B53" s="7" t="s">
        <v>326</v>
      </c>
      <c r="C53" s="7" t="s">
        <v>359</v>
      </c>
      <c r="D53" s="7" t="s">
        <v>360</v>
      </c>
      <c r="E53" s="7" t="s">
        <v>56</v>
      </c>
      <c r="F53" s="7" t="n">
        <v>3</v>
      </c>
      <c r="G53" s="7" t="s">
        <v>383</v>
      </c>
      <c r="H53" s="7" t="s">
        <v>60</v>
      </c>
      <c r="I53" s="7" t="s">
        <v>389</v>
      </c>
      <c r="J53" s="7" t="s">
        <v>363</v>
      </c>
      <c r="K53" s="7" t="s">
        <v>390</v>
      </c>
      <c r="L53" s="7" t="s">
        <v>391</v>
      </c>
      <c r="M53" s="7" t="s">
        <v>392</v>
      </c>
      <c r="N53" s="12"/>
      <c r="O53" s="12" t="s">
        <v>40</v>
      </c>
      <c r="P53" s="12"/>
      <c r="Q53" s="12"/>
      <c r="R53" s="13"/>
      <c r="S53" s="12"/>
      <c r="T53" s="12"/>
      <c r="U53" s="12"/>
    </row>
    <row r="54" customFormat="false" ht="22.35" hidden="false" customHeight="false" outlineLevel="0" collapsed="false">
      <c r="A54" s="7" t="s">
        <v>393</v>
      </c>
      <c r="B54" s="7" t="s">
        <v>326</v>
      </c>
      <c r="C54" s="7" t="s">
        <v>394</v>
      </c>
      <c r="D54" s="7" t="s">
        <v>395</v>
      </c>
      <c r="E54" s="7" t="s">
        <v>57</v>
      </c>
      <c r="F54" s="7" t="n">
        <v>1</v>
      </c>
      <c r="G54" s="7" t="s">
        <v>396</v>
      </c>
      <c r="H54" s="7" t="s">
        <v>59</v>
      </c>
      <c r="I54" s="7" t="s">
        <v>397</v>
      </c>
      <c r="J54" s="7" t="s">
        <v>398</v>
      </c>
      <c r="K54" s="7" t="s">
        <v>399</v>
      </c>
      <c r="L54" s="7" t="s">
        <v>136</v>
      </c>
      <c r="M54" s="7" t="s">
        <v>400</v>
      </c>
      <c r="N54" s="12"/>
      <c r="O54" s="12" t="s">
        <v>40</v>
      </c>
      <c r="P54" s="12"/>
      <c r="Q54" s="12"/>
      <c r="R54" s="13"/>
      <c r="S54" s="12"/>
      <c r="T54" s="12"/>
      <c r="U54" s="12"/>
    </row>
    <row r="55" customFormat="false" ht="22.35" hidden="false" customHeight="false" outlineLevel="0" collapsed="false">
      <c r="A55" s="7" t="s">
        <v>401</v>
      </c>
      <c r="B55" s="7" t="s">
        <v>326</v>
      </c>
      <c r="C55" s="7" t="s">
        <v>394</v>
      </c>
      <c r="D55" s="7" t="s">
        <v>395</v>
      </c>
      <c r="E55" s="7" t="s">
        <v>57</v>
      </c>
      <c r="F55" s="7" t="n">
        <v>1</v>
      </c>
      <c r="G55" s="7" t="s">
        <v>396</v>
      </c>
      <c r="H55" s="7" t="s">
        <v>60</v>
      </c>
      <c r="I55" s="7" t="s">
        <v>402</v>
      </c>
      <c r="J55" s="7" t="s">
        <v>398</v>
      </c>
      <c r="K55" s="7" t="s">
        <v>403</v>
      </c>
      <c r="L55" s="7" t="s">
        <v>136</v>
      </c>
      <c r="M55" s="7" t="s">
        <v>404</v>
      </c>
      <c r="N55" s="12"/>
      <c r="O55" s="12" t="s">
        <v>40</v>
      </c>
      <c r="P55" s="12"/>
      <c r="Q55" s="12"/>
      <c r="R55" s="13"/>
      <c r="S55" s="12"/>
      <c r="T55" s="12"/>
      <c r="U55" s="12"/>
    </row>
    <row r="56" customFormat="false" ht="22.35" hidden="false" customHeight="false" outlineLevel="0" collapsed="false">
      <c r="A56" s="7" t="s">
        <v>405</v>
      </c>
      <c r="B56" s="7" t="s">
        <v>326</v>
      </c>
      <c r="C56" s="7" t="s">
        <v>394</v>
      </c>
      <c r="D56" s="7" t="s">
        <v>395</v>
      </c>
      <c r="E56" s="7" t="s">
        <v>57</v>
      </c>
      <c r="F56" s="7" t="n">
        <v>2</v>
      </c>
      <c r="G56" s="7" t="s">
        <v>406</v>
      </c>
      <c r="H56" s="7" t="s">
        <v>59</v>
      </c>
      <c r="I56" s="7" t="s">
        <v>407</v>
      </c>
      <c r="J56" s="7" t="s">
        <v>398</v>
      </c>
      <c r="K56" s="7" t="s">
        <v>408</v>
      </c>
      <c r="L56" s="7" t="s">
        <v>136</v>
      </c>
      <c r="M56" s="7" t="s">
        <v>409</v>
      </c>
      <c r="N56" s="12"/>
      <c r="O56" s="12" t="s">
        <v>40</v>
      </c>
      <c r="P56" s="12"/>
      <c r="Q56" s="12"/>
      <c r="R56" s="13"/>
      <c r="S56" s="12"/>
      <c r="T56" s="12"/>
      <c r="U56" s="12"/>
    </row>
    <row r="57" customFormat="false" ht="32.8" hidden="false" customHeight="false" outlineLevel="0" collapsed="false">
      <c r="A57" s="7" t="s">
        <v>410</v>
      </c>
      <c r="B57" s="7" t="s">
        <v>326</v>
      </c>
      <c r="C57" s="7" t="s">
        <v>394</v>
      </c>
      <c r="D57" s="7" t="s">
        <v>395</v>
      </c>
      <c r="E57" s="7" t="s">
        <v>57</v>
      </c>
      <c r="F57" s="7" t="n">
        <v>2</v>
      </c>
      <c r="G57" s="7" t="s">
        <v>406</v>
      </c>
      <c r="H57" s="7" t="s">
        <v>60</v>
      </c>
      <c r="I57" s="7" t="s">
        <v>411</v>
      </c>
      <c r="J57" s="7" t="s">
        <v>398</v>
      </c>
      <c r="K57" s="7" t="s">
        <v>412</v>
      </c>
      <c r="L57" s="7" t="s">
        <v>413</v>
      </c>
      <c r="M57" s="7" t="s">
        <v>414</v>
      </c>
      <c r="N57" s="12"/>
      <c r="O57" s="12" t="s">
        <v>40</v>
      </c>
      <c r="P57" s="12"/>
      <c r="Q57" s="12"/>
      <c r="R57" s="13"/>
      <c r="S57" s="12"/>
      <c r="T57" s="12"/>
      <c r="U57" s="12"/>
    </row>
    <row r="58" customFormat="false" ht="22.35" hidden="false" customHeight="false" outlineLevel="0" collapsed="false">
      <c r="A58" s="7" t="s">
        <v>415</v>
      </c>
      <c r="B58" s="7" t="s">
        <v>326</v>
      </c>
      <c r="C58" s="7" t="s">
        <v>416</v>
      </c>
      <c r="D58" s="7" t="s">
        <v>417</v>
      </c>
      <c r="E58" s="7" t="s">
        <v>57</v>
      </c>
      <c r="F58" s="7" t="n">
        <v>1</v>
      </c>
      <c r="G58" s="7" t="s">
        <v>418</v>
      </c>
      <c r="H58" s="7" t="s">
        <v>59</v>
      </c>
      <c r="I58" s="7" t="s">
        <v>419</v>
      </c>
      <c r="J58" s="7" t="s">
        <v>420</v>
      </c>
      <c r="K58" s="7" t="s">
        <v>421</v>
      </c>
      <c r="L58" s="7" t="s">
        <v>136</v>
      </c>
      <c r="M58" s="7" t="s">
        <v>422</v>
      </c>
      <c r="N58" s="12"/>
      <c r="O58" s="12" t="s">
        <v>40</v>
      </c>
      <c r="P58" s="12"/>
      <c r="Q58" s="12"/>
      <c r="R58" s="13"/>
      <c r="S58" s="12"/>
      <c r="T58" s="12"/>
      <c r="U58" s="12"/>
    </row>
    <row r="59" customFormat="false" ht="22.35" hidden="false" customHeight="false" outlineLevel="0" collapsed="false">
      <c r="A59" s="7" t="s">
        <v>423</v>
      </c>
      <c r="B59" s="7" t="s">
        <v>326</v>
      </c>
      <c r="C59" s="7" t="s">
        <v>416</v>
      </c>
      <c r="D59" s="7" t="s">
        <v>417</v>
      </c>
      <c r="E59" s="7" t="s">
        <v>57</v>
      </c>
      <c r="F59" s="7" t="n">
        <v>1</v>
      </c>
      <c r="G59" s="7" t="s">
        <v>418</v>
      </c>
      <c r="H59" s="7" t="s">
        <v>60</v>
      </c>
      <c r="I59" s="7" t="s">
        <v>424</v>
      </c>
      <c r="J59" s="7" t="s">
        <v>420</v>
      </c>
      <c r="K59" s="7" t="s">
        <v>425</v>
      </c>
      <c r="L59" s="7" t="s">
        <v>136</v>
      </c>
      <c r="M59" s="7" t="s">
        <v>426</v>
      </c>
      <c r="N59" s="12"/>
      <c r="O59" s="12" t="s">
        <v>40</v>
      </c>
      <c r="P59" s="12"/>
      <c r="Q59" s="12"/>
      <c r="R59" s="13"/>
      <c r="S59" s="12"/>
      <c r="T59" s="12"/>
      <c r="U59" s="12"/>
    </row>
    <row r="60" customFormat="false" ht="22.35" hidden="false" customHeight="false" outlineLevel="0" collapsed="false">
      <c r="A60" s="7" t="s">
        <v>427</v>
      </c>
      <c r="B60" s="7" t="s">
        <v>326</v>
      </c>
      <c r="C60" s="7" t="s">
        <v>416</v>
      </c>
      <c r="D60" s="7" t="s">
        <v>417</v>
      </c>
      <c r="E60" s="7" t="s">
        <v>57</v>
      </c>
      <c r="F60" s="7" t="n">
        <v>2</v>
      </c>
      <c r="G60" s="7" t="s">
        <v>428</v>
      </c>
      <c r="H60" s="7" t="s">
        <v>59</v>
      </c>
      <c r="I60" s="7" t="s">
        <v>429</v>
      </c>
      <c r="J60" s="7" t="s">
        <v>420</v>
      </c>
      <c r="K60" s="7" t="s">
        <v>430</v>
      </c>
      <c r="L60" s="7" t="s">
        <v>136</v>
      </c>
      <c r="M60" s="7" t="s">
        <v>431</v>
      </c>
      <c r="N60" s="12"/>
      <c r="O60" s="12" t="s">
        <v>40</v>
      </c>
      <c r="P60" s="12"/>
      <c r="Q60" s="12"/>
      <c r="R60" s="13"/>
      <c r="S60" s="12"/>
      <c r="T60" s="12"/>
      <c r="U60" s="12"/>
    </row>
    <row r="61" customFormat="false" ht="22.35" hidden="false" customHeight="false" outlineLevel="0" collapsed="false">
      <c r="A61" s="7" t="s">
        <v>432</v>
      </c>
      <c r="B61" s="7" t="s">
        <v>326</v>
      </c>
      <c r="C61" s="7" t="s">
        <v>416</v>
      </c>
      <c r="D61" s="7" t="s">
        <v>417</v>
      </c>
      <c r="E61" s="7" t="s">
        <v>57</v>
      </c>
      <c r="F61" s="7" t="n">
        <v>2</v>
      </c>
      <c r="G61" s="7" t="s">
        <v>428</v>
      </c>
      <c r="H61" s="7" t="s">
        <v>60</v>
      </c>
      <c r="I61" s="7" t="s">
        <v>433</v>
      </c>
      <c r="J61" s="7" t="s">
        <v>420</v>
      </c>
      <c r="K61" s="7" t="s">
        <v>434</v>
      </c>
      <c r="L61" s="7" t="s">
        <v>136</v>
      </c>
      <c r="M61" s="7" t="s">
        <v>435</v>
      </c>
      <c r="N61" s="12"/>
      <c r="O61" s="12" t="s">
        <v>40</v>
      </c>
      <c r="P61" s="12"/>
      <c r="Q61" s="12"/>
      <c r="R61" s="13"/>
      <c r="S61" s="12"/>
      <c r="T61" s="12"/>
      <c r="U61" s="12"/>
    </row>
    <row r="62" customFormat="false" ht="32.8" hidden="false" customHeight="false" outlineLevel="0" collapsed="false">
      <c r="A62" s="7" t="s">
        <v>436</v>
      </c>
      <c r="B62" s="7" t="s">
        <v>437</v>
      </c>
      <c r="C62" s="7" t="s">
        <v>438</v>
      </c>
      <c r="D62" s="7" t="s">
        <v>439</v>
      </c>
      <c r="E62" s="7" t="s">
        <v>54</v>
      </c>
      <c r="F62" s="7" t="n">
        <v>1</v>
      </c>
      <c r="G62" s="7" t="s">
        <v>440</v>
      </c>
      <c r="H62" s="7" t="s">
        <v>59</v>
      </c>
      <c r="I62" s="7" t="s">
        <v>441</v>
      </c>
      <c r="J62" s="7" t="s">
        <v>442</v>
      </c>
      <c r="K62" s="7" t="s">
        <v>443</v>
      </c>
      <c r="L62" s="7" t="s">
        <v>444</v>
      </c>
      <c r="M62" s="7" t="s">
        <v>445</v>
      </c>
      <c r="N62" s="12"/>
      <c r="O62" s="12" t="s">
        <v>40</v>
      </c>
      <c r="P62" s="12"/>
      <c r="Q62" s="12"/>
      <c r="R62" s="13"/>
      <c r="S62" s="12"/>
      <c r="T62" s="12"/>
      <c r="U62" s="12"/>
    </row>
    <row r="63" customFormat="false" ht="32.8" hidden="false" customHeight="false" outlineLevel="0" collapsed="false">
      <c r="A63" s="7" t="s">
        <v>446</v>
      </c>
      <c r="B63" s="7" t="s">
        <v>437</v>
      </c>
      <c r="C63" s="7" t="s">
        <v>438</v>
      </c>
      <c r="D63" s="7" t="s">
        <v>439</v>
      </c>
      <c r="E63" s="7" t="s">
        <v>54</v>
      </c>
      <c r="F63" s="7" t="n">
        <v>1</v>
      </c>
      <c r="G63" s="7" t="s">
        <v>440</v>
      </c>
      <c r="H63" s="7" t="s">
        <v>60</v>
      </c>
      <c r="I63" s="7" t="s">
        <v>447</v>
      </c>
      <c r="J63" s="7" t="s">
        <v>442</v>
      </c>
      <c r="K63" s="7" t="s">
        <v>448</v>
      </c>
      <c r="L63" s="7" t="s">
        <v>136</v>
      </c>
      <c r="M63" s="7" t="s">
        <v>449</v>
      </c>
      <c r="N63" s="12"/>
      <c r="O63" s="12" t="s">
        <v>40</v>
      </c>
      <c r="P63" s="12"/>
      <c r="Q63" s="12"/>
      <c r="R63" s="13"/>
      <c r="S63" s="12"/>
      <c r="T63" s="12"/>
      <c r="U63" s="12"/>
    </row>
    <row r="64" customFormat="false" ht="32.8" hidden="false" customHeight="false" outlineLevel="0" collapsed="false">
      <c r="A64" s="7" t="s">
        <v>450</v>
      </c>
      <c r="B64" s="7" t="s">
        <v>437</v>
      </c>
      <c r="C64" s="7" t="s">
        <v>438</v>
      </c>
      <c r="D64" s="7" t="s">
        <v>439</v>
      </c>
      <c r="E64" s="7" t="s">
        <v>54</v>
      </c>
      <c r="F64" s="7" t="n">
        <v>2</v>
      </c>
      <c r="G64" s="7" t="s">
        <v>451</v>
      </c>
      <c r="H64" s="7" t="s">
        <v>59</v>
      </c>
      <c r="I64" s="7" t="s">
        <v>452</v>
      </c>
      <c r="J64" s="7" t="s">
        <v>442</v>
      </c>
      <c r="K64" s="7" t="s">
        <v>453</v>
      </c>
      <c r="L64" s="7" t="s">
        <v>136</v>
      </c>
      <c r="M64" s="7" t="s">
        <v>454</v>
      </c>
      <c r="N64" s="12"/>
      <c r="O64" s="12" t="s">
        <v>40</v>
      </c>
      <c r="P64" s="12"/>
      <c r="Q64" s="12"/>
      <c r="R64" s="13"/>
      <c r="S64" s="12"/>
      <c r="T64" s="12"/>
      <c r="U64" s="12"/>
    </row>
    <row r="65" customFormat="false" ht="32.8" hidden="false" customHeight="false" outlineLevel="0" collapsed="false">
      <c r="A65" s="7" t="s">
        <v>455</v>
      </c>
      <c r="B65" s="7" t="s">
        <v>437</v>
      </c>
      <c r="C65" s="7" t="s">
        <v>438</v>
      </c>
      <c r="D65" s="7" t="s">
        <v>439</v>
      </c>
      <c r="E65" s="7" t="s">
        <v>54</v>
      </c>
      <c r="F65" s="7" t="n">
        <v>2</v>
      </c>
      <c r="G65" s="7" t="s">
        <v>451</v>
      </c>
      <c r="H65" s="7" t="s">
        <v>60</v>
      </c>
      <c r="I65" s="7" t="s">
        <v>456</v>
      </c>
      <c r="J65" s="7" t="s">
        <v>442</v>
      </c>
      <c r="K65" s="7" t="s">
        <v>457</v>
      </c>
      <c r="L65" s="7" t="s">
        <v>136</v>
      </c>
      <c r="M65" s="7" t="s">
        <v>458</v>
      </c>
      <c r="N65" s="12"/>
      <c r="O65" s="12" t="s">
        <v>40</v>
      </c>
      <c r="P65" s="12"/>
      <c r="Q65" s="12"/>
      <c r="R65" s="13"/>
      <c r="S65" s="12"/>
      <c r="T65" s="12"/>
      <c r="U65" s="12"/>
    </row>
    <row r="66" customFormat="false" ht="32.8" hidden="false" customHeight="false" outlineLevel="0" collapsed="false">
      <c r="A66" s="7" t="s">
        <v>459</v>
      </c>
      <c r="B66" s="7" t="s">
        <v>437</v>
      </c>
      <c r="C66" s="7" t="s">
        <v>438</v>
      </c>
      <c r="D66" s="7" t="s">
        <v>439</v>
      </c>
      <c r="E66" s="7" t="s">
        <v>54</v>
      </c>
      <c r="F66" s="7" t="n">
        <v>3</v>
      </c>
      <c r="G66" s="7" t="s">
        <v>460</v>
      </c>
      <c r="H66" s="7" t="s">
        <v>59</v>
      </c>
      <c r="I66" s="7" t="s">
        <v>461</v>
      </c>
      <c r="J66" s="7" t="s">
        <v>442</v>
      </c>
      <c r="K66" s="7" t="s">
        <v>462</v>
      </c>
      <c r="L66" s="7" t="s">
        <v>136</v>
      </c>
      <c r="M66" s="7" t="s">
        <v>463</v>
      </c>
      <c r="N66" s="12"/>
      <c r="O66" s="12" t="s">
        <v>40</v>
      </c>
      <c r="P66" s="12"/>
      <c r="Q66" s="12"/>
      <c r="R66" s="13"/>
      <c r="S66" s="12"/>
      <c r="T66" s="12"/>
      <c r="U66" s="12"/>
    </row>
    <row r="67" customFormat="false" ht="32.8" hidden="false" customHeight="false" outlineLevel="0" collapsed="false">
      <c r="A67" s="7" t="s">
        <v>464</v>
      </c>
      <c r="B67" s="7" t="s">
        <v>437</v>
      </c>
      <c r="C67" s="7" t="s">
        <v>438</v>
      </c>
      <c r="D67" s="7" t="s">
        <v>439</v>
      </c>
      <c r="E67" s="7" t="s">
        <v>54</v>
      </c>
      <c r="F67" s="7" t="n">
        <v>3</v>
      </c>
      <c r="G67" s="7" t="s">
        <v>460</v>
      </c>
      <c r="H67" s="7" t="s">
        <v>60</v>
      </c>
      <c r="I67" s="7" t="s">
        <v>465</v>
      </c>
      <c r="J67" s="7" t="s">
        <v>442</v>
      </c>
      <c r="K67" s="7" t="s">
        <v>466</v>
      </c>
      <c r="L67" s="7" t="s">
        <v>467</v>
      </c>
      <c r="M67" s="7" t="s">
        <v>468</v>
      </c>
      <c r="N67" s="12"/>
      <c r="O67" s="12" t="s">
        <v>40</v>
      </c>
      <c r="P67" s="12"/>
      <c r="Q67" s="12"/>
      <c r="R67" s="13"/>
      <c r="S67" s="12"/>
      <c r="T67" s="12"/>
      <c r="U67" s="12"/>
    </row>
    <row r="68" customFormat="false" ht="32.8" hidden="false" customHeight="false" outlineLevel="0" collapsed="false">
      <c r="A68" s="7" t="s">
        <v>469</v>
      </c>
      <c r="B68" s="7" t="s">
        <v>437</v>
      </c>
      <c r="C68" s="7" t="s">
        <v>438</v>
      </c>
      <c r="D68" s="7" t="s">
        <v>439</v>
      </c>
      <c r="E68" s="7" t="s">
        <v>54</v>
      </c>
      <c r="F68" s="7" t="n">
        <v>4</v>
      </c>
      <c r="G68" s="7" t="s">
        <v>470</v>
      </c>
      <c r="H68" s="7" t="s">
        <v>59</v>
      </c>
      <c r="I68" s="7" t="s">
        <v>471</v>
      </c>
      <c r="J68" s="7" t="s">
        <v>442</v>
      </c>
      <c r="K68" s="7" t="s">
        <v>472</v>
      </c>
      <c r="L68" s="7" t="s">
        <v>136</v>
      </c>
      <c r="M68" s="7" t="s">
        <v>473</v>
      </c>
      <c r="N68" s="12"/>
      <c r="O68" s="12" t="s">
        <v>40</v>
      </c>
      <c r="P68" s="12"/>
      <c r="Q68" s="12"/>
      <c r="R68" s="13"/>
      <c r="S68" s="12"/>
      <c r="T68" s="12"/>
      <c r="U68" s="12"/>
    </row>
    <row r="69" customFormat="false" ht="32.8" hidden="false" customHeight="false" outlineLevel="0" collapsed="false">
      <c r="A69" s="7" t="s">
        <v>474</v>
      </c>
      <c r="B69" s="7" t="s">
        <v>437</v>
      </c>
      <c r="C69" s="7" t="s">
        <v>438</v>
      </c>
      <c r="D69" s="7" t="s">
        <v>439</v>
      </c>
      <c r="E69" s="7" t="s">
        <v>54</v>
      </c>
      <c r="F69" s="7" t="n">
        <v>4</v>
      </c>
      <c r="G69" s="7" t="s">
        <v>470</v>
      </c>
      <c r="H69" s="7" t="s">
        <v>60</v>
      </c>
      <c r="I69" s="7" t="s">
        <v>475</v>
      </c>
      <c r="J69" s="7" t="s">
        <v>442</v>
      </c>
      <c r="K69" s="7" t="s">
        <v>476</v>
      </c>
      <c r="L69" s="7" t="s">
        <v>477</v>
      </c>
      <c r="M69" s="7" t="s">
        <v>478</v>
      </c>
      <c r="N69" s="12"/>
      <c r="O69" s="12" t="s">
        <v>40</v>
      </c>
      <c r="P69" s="12"/>
      <c r="Q69" s="12"/>
      <c r="R69" s="13"/>
      <c r="S69" s="12"/>
      <c r="T69" s="12"/>
      <c r="U69" s="12"/>
    </row>
    <row r="70" customFormat="false" ht="22.35" hidden="false" customHeight="false" outlineLevel="0" collapsed="false">
      <c r="A70" s="7" t="s">
        <v>479</v>
      </c>
      <c r="B70" s="7" t="s">
        <v>437</v>
      </c>
      <c r="C70" s="7" t="s">
        <v>480</v>
      </c>
      <c r="D70" s="7" t="s">
        <v>481</v>
      </c>
      <c r="E70" s="7" t="s">
        <v>56</v>
      </c>
      <c r="F70" s="7" t="n">
        <v>1</v>
      </c>
      <c r="G70" s="7" t="s">
        <v>482</v>
      </c>
      <c r="H70" s="7" t="s">
        <v>59</v>
      </c>
      <c r="I70" s="7" t="s">
        <v>483</v>
      </c>
      <c r="J70" s="7" t="s">
        <v>484</v>
      </c>
      <c r="K70" s="7" t="s">
        <v>485</v>
      </c>
      <c r="L70" s="7" t="s">
        <v>136</v>
      </c>
      <c r="M70" s="7" t="s">
        <v>486</v>
      </c>
      <c r="N70" s="12"/>
      <c r="O70" s="12" t="s">
        <v>40</v>
      </c>
      <c r="P70" s="12"/>
      <c r="Q70" s="12"/>
      <c r="R70" s="13"/>
      <c r="S70" s="12"/>
      <c r="T70" s="12"/>
      <c r="U70" s="12"/>
    </row>
    <row r="71" customFormat="false" ht="32.8" hidden="false" customHeight="false" outlineLevel="0" collapsed="false">
      <c r="A71" s="7" t="s">
        <v>487</v>
      </c>
      <c r="B71" s="7" t="s">
        <v>437</v>
      </c>
      <c r="C71" s="7" t="s">
        <v>480</v>
      </c>
      <c r="D71" s="7" t="s">
        <v>481</v>
      </c>
      <c r="E71" s="7" t="s">
        <v>56</v>
      </c>
      <c r="F71" s="7" t="n">
        <v>1</v>
      </c>
      <c r="G71" s="7" t="s">
        <v>482</v>
      </c>
      <c r="H71" s="7" t="s">
        <v>60</v>
      </c>
      <c r="I71" s="7" t="s">
        <v>488</v>
      </c>
      <c r="J71" s="7" t="s">
        <v>484</v>
      </c>
      <c r="K71" s="7" t="s">
        <v>489</v>
      </c>
      <c r="L71" s="7" t="s">
        <v>136</v>
      </c>
      <c r="M71" s="7" t="s">
        <v>490</v>
      </c>
      <c r="N71" s="12"/>
      <c r="O71" s="12" t="s">
        <v>40</v>
      </c>
      <c r="P71" s="12"/>
      <c r="Q71" s="12"/>
      <c r="R71" s="13"/>
      <c r="S71" s="12"/>
      <c r="T71" s="12"/>
      <c r="U71" s="12"/>
    </row>
    <row r="72" customFormat="false" ht="22.35" hidden="false" customHeight="false" outlineLevel="0" collapsed="false">
      <c r="A72" s="7" t="s">
        <v>491</v>
      </c>
      <c r="B72" s="7" t="s">
        <v>437</v>
      </c>
      <c r="C72" s="7" t="s">
        <v>480</v>
      </c>
      <c r="D72" s="7" t="s">
        <v>481</v>
      </c>
      <c r="E72" s="7" t="s">
        <v>56</v>
      </c>
      <c r="F72" s="7" t="n">
        <v>2</v>
      </c>
      <c r="G72" s="7" t="s">
        <v>492</v>
      </c>
      <c r="H72" s="7" t="s">
        <v>59</v>
      </c>
      <c r="I72" s="7" t="s">
        <v>493</v>
      </c>
      <c r="J72" s="7" t="s">
        <v>484</v>
      </c>
      <c r="K72" s="7" t="s">
        <v>494</v>
      </c>
      <c r="L72" s="7" t="s">
        <v>136</v>
      </c>
      <c r="M72" s="7" t="s">
        <v>495</v>
      </c>
      <c r="N72" s="12"/>
      <c r="O72" s="12" t="s">
        <v>40</v>
      </c>
      <c r="P72" s="12"/>
      <c r="Q72" s="12"/>
      <c r="R72" s="13"/>
      <c r="S72" s="12"/>
      <c r="T72" s="12"/>
      <c r="U72" s="12"/>
    </row>
    <row r="73" customFormat="false" ht="22.35" hidden="false" customHeight="false" outlineLevel="0" collapsed="false">
      <c r="A73" s="7" t="s">
        <v>496</v>
      </c>
      <c r="B73" s="7" t="s">
        <v>437</v>
      </c>
      <c r="C73" s="7" t="s">
        <v>480</v>
      </c>
      <c r="D73" s="7" t="s">
        <v>481</v>
      </c>
      <c r="E73" s="7" t="s">
        <v>56</v>
      </c>
      <c r="F73" s="7" t="n">
        <v>2</v>
      </c>
      <c r="G73" s="7" t="s">
        <v>492</v>
      </c>
      <c r="H73" s="7" t="s">
        <v>60</v>
      </c>
      <c r="I73" s="7" t="s">
        <v>497</v>
      </c>
      <c r="J73" s="7" t="s">
        <v>484</v>
      </c>
      <c r="K73" s="7" t="s">
        <v>498</v>
      </c>
      <c r="L73" s="7" t="s">
        <v>136</v>
      </c>
      <c r="M73" s="7" t="s">
        <v>499</v>
      </c>
      <c r="N73" s="12"/>
      <c r="O73" s="12" t="s">
        <v>40</v>
      </c>
      <c r="P73" s="12"/>
      <c r="Q73" s="12"/>
      <c r="R73" s="13"/>
      <c r="S73" s="12"/>
      <c r="T73" s="12"/>
      <c r="U73" s="12"/>
    </row>
    <row r="74" customFormat="false" ht="43.25" hidden="false" customHeight="false" outlineLevel="0" collapsed="false">
      <c r="A74" s="7" t="s">
        <v>500</v>
      </c>
      <c r="B74" s="7" t="s">
        <v>437</v>
      </c>
      <c r="C74" s="7" t="s">
        <v>501</v>
      </c>
      <c r="D74" s="7" t="s">
        <v>502</v>
      </c>
      <c r="E74" s="7" t="s">
        <v>55</v>
      </c>
      <c r="F74" s="7" t="n">
        <v>1</v>
      </c>
      <c r="G74" s="7" t="s">
        <v>503</v>
      </c>
      <c r="H74" s="7" t="s">
        <v>59</v>
      </c>
      <c r="I74" s="7" t="s">
        <v>504</v>
      </c>
      <c r="J74" s="7" t="s">
        <v>505</v>
      </c>
      <c r="K74" s="7" t="s">
        <v>506</v>
      </c>
      <c r="L74" s="7" t="s">
        <v>507</v>
      </c>
      <c r="M74" s="7" t="s">
        <v>508</v>
      </c>
      <c r="N74" s="12"/>
      <c r="O74" s="12" t="s">
        <v>40</v>
      </c>
      <c r="P74" s="12"/>
      <c r="Q74" s="12"/>
      <c r="R74" s="13"/>
      <c r="S74" s="12"/>
      <c r="T74" s="12"/>
      <c r="U74" s="12"/>
    </row>
    <row r="75" customFormat="false" ht="22.35" hidden="false" customHeight="false" outlineLevel="0" collapsed="false">
      <c r="A75" s="7" t="s">
        <v>509</v>
      </c>
      <c r="B75" s="7" t="s">
        <v>437</v>
      </c>
      <c r="C75" s="7" t="s">
        <v>501</v>
      </c>
      <c r="D75" s="7" t="s">
        <v>502</v>
      </c>
      <c r="E75" s="7" t="s">
        <v>55</v>
      </c>
      <c r="F75" s="7" t="n">
        <v>1</v>
      </c>
      <c r="G75" s="7" t="s">
        <v>503</v>
      </c>
      <c r="H75" s="7" t="s">
        <v>60</v>
      </c>
      <c r="I75" s="7" t="s">
        <v>510</v>
      </c>
      <c r="J75" s="7" t="s">
        <v>505</v>
      </c>
      <c r="K75" s="7" t="s">
        <v>511</v>
      </c>
      <c r="L75" s="7" t="s">
        <v>512</v>
      </c>
      <c r="M75" s="7" t="s">
        <v>513</v>
      </c>
      <c r="N75" s="12"/>
      <c r="O75" s="12" t="s">
        <v>40</v>
      </c>
      <c r="P75" s="12"/>
      <c r="Q75" s="12"/>
      <c r="R75" s="13"/>
      <c r="S75" s="12"/>
      <c r="T75" s="12"/>
      <c r="U75" s="12"/>
    </row>
    <row r="76" customFormat="false" ht="22.35" hidden="false" customHeight="false" outlineLevel="0" collapsed="false">
      <c r="A76" s="7" t="s">
        <v>514</v>
      </c>
      <c r="B76" s="7" t="s">
        <v>437</v>
      </c>
      <c r="C76" s="7" t="s">
        <v>501</v>
      </c>
      <c r="D76" s="7" t="s">
        <v>502</v>
      </c>
      <c r="E76" s="7" t="s">
        <v>55</v>
      </c>
      <c r="F76" s="7" t="n">
        <v>2</v>
      </c>
      <c r="G76" s="7" t="s">
        <v>515</v>
      </c>
      <c r="H76" s="7" t="s">
        <v>59</v>
      </c>
      <c r="I76" s="7" t="s">
        <v>516</v>
      </c>
      <c r="J76" s="7" t="s">
        <v>505</v>
      </c>
      <c r="K76" s="7" t="s">
        <v>517</v>
      </c>
      <c r="L76" s="7" t="s">
        <v>136</v>
      </c>
      <c r="M76" s="7" t="s">
        <v>518</v>
      </c>
      <c r="N76" s="12"/>
      <c r="O76" s="12" t="s">
        <v>40</v>
      </c>
      <c r="P76" s="12"/>
      <c r="Q76" s="12"/>
      <c r="R76" s="13"/>
      <c r="S76" s="12"/>
      <c r="T76" s="12"/>
      <c r="U76" s="12"/>
    </row>
    <row r="77" customFormat="false" ht="43.25" hidden="false" customHeight="false" outlineLevel="0" collapsed="false">
      <c r="A77" s="7" t="s">
        <v>519</v>
      </c>
      <c r="B77" s="7" t="s">
        <v>437</v>
      </c>
      <c r="C77" s="7" t="s">
        <v>501</v>
      </c>
      <c r="D77" s="7" t="s">
        <v>502</v>
      </c>
      <c r="E77" s="7" t="s">
        <v>55</v>
      </c>
      <c r="F77" s="7" t="n">
        <v>2</v>
      </c>
      <c r="G77" s="7" t="s">
        <v>515</v>
      </c>
      <c r="H77" s="7" t="s">
        <v>60</v>
      </c>
      <c r="I77" s="7" t="s">
        <v>520</v>
      </c>
      <c r="J77" s="7" t="s">
        <v>505</v>
      </c>
      <c r="K77" s="7" t="s">
        <v>521</v>
      </c>
      <c r="L77" s="7" t="s">
        <v>136</v>
      </c>
      <c r="M77" s="7" t="s">
        <v>522</v>
      </c>
      <c r="N77" s="12"/>
      <c r="O77" s="12" t="s">
        <v>40</v>
      </c>
      <c r="P77" s="12"/>
      <c r="Q77" s="12"/>
      <c r="R77" s="13"/>
      <c r="S77" s="12"/>
      <c r="T77" s="12"/>
      <c r="U77" s="12"/>
    </row>
    <row r="78" customFormat="false" ht="22.35" hidden="false" customHeight="false" outlineLevel="0" collapsed="false">
      <c r="A78" s="7" t="s">
        <v>523</v>
      </c>
      <c r="B78" s="7" t="s">
        <v>437</v>
      </c>
      <c r="C78" s="7" t="s">
        <v>501</v>
      </c>
      <c r="D78" s="7" t="s">
        <v>502</v>
      </c>
      <c r="E78" s="7" t="s">
        <v>55</v>
      </c>
      <c r="F78" s="7" t="n">
        <v>3</v>
      </c>
      <c r="G78" s="7" t="s">
        <v>524</v>
      </c>
      <c r="H78" s="7" t="s">
        <v>59</v>
      </c>
      <c r="I78" s="7" t="s">
        <v>525</v>
      </c>
      <c r="J78" s="7" t="s">
        <v>505</v>
      </c>
      <c r="K78" s="7" t="s">
        <v>526</v>
      </c>
      <c r="L78" s="7" t="s">
        <v>136</v>
      </c>
      <c r="M78" s="7" t="s">
        <v>527</v>
      </c>
      <c r="N78" s="12"/>
      <c r="O78" s="12" t="s">
        <v>40</v>
      </c>
      <c r="P78" s="12"/>
      <c r="Q78" s="12"/>
      <c r="R78" s="13"/>
      <c r="S78" s="12"/>
      <c r="T78" s="12"/>
      <c r="U78" s="12"/>
    </row>
    <row r="79" customFormat="false" ht="22.35" hidden="false" customHeight="false" outlineLevel="0" collapsed="false">
      <c r="A79" s="7" t="s">
        <v>528</v>
      </c>
      <c r="B79" s="7" t="s">
        <v>437</v>
      </c>
      <c r="C79" s="7" t="s">
        <v>501</v>
      </c>
      <c r="D79" s="7" t="s">
        <v>502</v>
      </c>
      <c r="E79" s="7" t="s">
        <v>55</v>
      </c>
      <c r="F79" s="7" t="n">
        <v>3</v>
      </c>
      <c r="G79" s="7" t="s">
        <v>524</v>
      </c>
      <c r="H79" s="7" t="s">
        <v>60</v>
      </c>
      <c r="I79" s="7" t="s">
        <v>529</v>
      </c>
      <c r="J79" s="7" t="s">
        <v>505</v>
      </c>
      <c r="K79" s="7" t="s">
        <v>530</v>
      </c>
      <c r="L79" s="7" t="s">
        <v>136</v>
      </c>
      <c r="M79" s="7" t="s">
        <v>531</v>
      </c>
      <c r="N79" s="12"/>
      <c r="O79" s="12" t="s">
        <v>40</v>
      </c>
      <c r="P79" s="12"/>
      <c r="Q79" s="12"/>
      <c r="R79" s="13"/>
      <c r="S79" s="12"/>
      <c r="T79" s="12"/>
      <c r="U79" s="12"/>
    </row>
    <row r="80" customFormat="false" ht="32.8" hidden="false" customHeight="false" outlineLevel="0" collapsed="false">
      <c r="A80" s="7" t="s">
        <v>532</v>
      </c>
      <c r="B80" s="7" t="s">
        <v>437</v>
      </c>
      <c r="C80" s="7" t="s">
        <v>501</v>
      </c>
      <c r="D80" s="7" t="s">
        <v>502</v>
      </c>
      <c r="E80" s="7" t="s">
        <v>55</v>
      </c>
      <c r="F80" s="7" t="n">
        <v>4</v>
      </c>
      <c r="G80" s="7" t="s">
        <v>533</v>
      </c>
      <c r="H80" s="7" t="s">
        <v>59</v>
      </c>
      <c r="I80" s="7" t="s">
        <v>534</v>
      </c>
      <c r="J80" s="7" t="s">
        <v>505</v>
      </c>
      <c r="K80" s="7" t="s">
        <v>535</v>
      </c>
      <c r="L80" s="7" t="s">
        <v>136</v>
      </c>
      <c r="M80" s="7" t="s">
        <v>536</v>
      </c>
      <c r="N80" s="12"/>
      <c r="O80" s="12" t="s">
        <v>40</v>
      </c>
      <c r="P80" s="12"/>
      <c r="Q80" s="12"/>
      <c r="R80" s="13"/>
      <c r="S80" s="12"/>
      <c r="T80" s="12"/>
      <c r="U80" s="12"/>
    </row>
    <row r="81" customFormat="false" ht="22.35" hidden="false" customHeight="false" outlineLevel="0" collapsed="false">
      <c r="A81" s="7" t="s">
        <v>537</v>
      </c>
      <c r="B81" s="7" t="s">
        <v>437</v>
      </c>
      <c r="C81" s="7" t="s">
        <v>501</v>
      </c>
      <c r="D81" s="7" t="s">
        <v>502</v>
      </c>
      <c r="E81" s="7" t="s">
        <v>55</v>
      </c>
      <c r="F81" s="7" t="n">
        <v>4</v>
      </c>
      <c r="G81" s="7" t="s">
        <v>533</v>
      </c>
      <c r="H81" s="7" t="s">
        <v>60</v>
      </c>
      <c r="I81" s="7" t="s">
        <v>538</v>
      </c>
      <c r="J81" s="7" t="s">
        <v>505</v>
      </c>
      <c r="K81" s="7" t="s">
        <v>539</v>
      </c>
      <c r="L81" s="7" t="s">
        <v>136</v>
      </c>
      <c r="M81" s="7" t="s">
        <v>540</v>
      </c>
      <c r="N81" s="12"/>
      <c r="O81" s="12" t="s">
        <v>40</v>
      </c>
      <c r="P81" s="12"/>
      <c r="Q81" s="12"/>
      <c r="R81" s="13"/>
      <c r="S81" s="12"/>
      <c r="T81" s="12"/>
      <c r="U81" s="12"/>
    </row>
    <row r="82" customFormat="false" ht="22.35" hidden="false" customHeight="false" outlineLevel="0" collapsed="false">
      <c r="A82" s="7" t="s">
        <v>541</v>
      </c>
      <c r="B82" s="7" t="s">
        <v>437</v>
      </c>
      <c r="C82" s="7" t="s">
        <v>542</v>
      </c>
      <c r="D82" s="7" t="s">
        <v>543</v>
      </c>
      <c r="E82" s="7" t="s">
        <v>56</v>
      </c>
      <c r="F82" s="7" t="n">
        <v>1</v>
      </c>
      <c r="G82" s="7" t="s">
        <v>544</v>
      </c>
      <c r="H82" s="7" t="s">
        <v>59</v>
      </c>
      <c r="I82" s="7" t="s">
        <v>545</v>
      </c>
      <c r="J82" s="7" t="s">
        <v>546</v>
      </c>
      <c r="K82" s="7" t="s">
        <v>547</v>
      </c>
      <c r="L82" s="7" t="s">
        <v>136</v>
      </c>
      <c r="M82" s="7" t="s">
        <v>548</v>
      </c>
      <c r="N82" s="12"/>
      <c r="O82" s="12" t="s">
        <v>40</v>
      </c>
      <c r="P82" s="12"/>
      <c r="Q82" s="12"/>
      <c r="R82" s="13"/>
      <c r="S82" s="12"/>
      <c r="T82" s="12"/>
      <c r="U82" s="12"/>
    </row>
    <row r="83" customFormat="false" ht="22.35" hidden="false" customHeight="false" outlineLevel="0" collapsed="false">
      <c r="A83" s="7" t="s">
        <v>549</v>
      </c>
      <c r="B83" s="7" t="s">
        <v>437</v>
      </c>
      <c r="C83" s="7" t="s">
        <v>542</v>
      </c>
      <c r="D83" s="7" t="s">
        <v>543</v>
      </c>
      <c r="E83" s="7" t="s">
        <v>56</v>
      </c>
      <c r="F83" s="7" t="n">
        <v>1</v>
      </c>
      <c r="G83" s="7" t="s">
        <v>544</v>
      </c>
      <c r="H83" s="7" t="s">
        <v>60</v>
      </c>
      <c r="I83" s="7" t="s">
        <v>550</v>
      </c>
      <c r="J83" s="7" t="s">
        <v>546</v>
      </c>
      <c r="K83" s="7" t="s">
        <v>551</v>
      </c>
      <c r="L83" s="7" t="s">
        <v>136</v>
      </c>
      <c r="M83" s="7" t="s">
        <v>552</v>
      </c>
      <c r="N83" s="12"/>
      <c r="O83" s="12" t="s">
        <v>40</v>
      </c>
      <c r="P83" s="12"/>
      <c r="Q83" s="12"/>
      <c r="R83" s="13"/>
      <c r="S83" s="12"/>
      <c r="T83" s="12"/>
      <c r="U83" s="12"/>
    </row>
    <row r="84" customFormat="false" ht="22.35" hidden="false" customHeight="false" outlineLevel="0" collapsed="false">
      <c r="A84" s="7" t="s">
        <v>553</v>
      </c>
      <c r="B84" s="7" t="s">
        <v>437</v>
      </c>
      <c r="C84" s="7" t="s">
        <v>542</v>
      </c>
      <c r="D84" s="7" t="s">
        <v>543</v>
      </c>
      <c r="E84" s="7" t="s">
        <v>56</v>
      </c>
      <c r="F84" s="7" t="n">
        <v>2</v>
      </c>
      <c r="G84" s="7" t="s">
        <v>554</v>
      </c>
      <c r="H84" s="7" t="s">
        <v>59</v>
      </c>
      <c r="I84" s="7" t="s">
        <v>555</v>
      </c>
      <c r="J84" s="7" t="s">
        <v>546</v>
      </c>
      <c r="K84" s="7" t="s">
        <v>556</v>
      </c>
      <c r="L84" s="7" t="s">
        <v>136</v>
      </c>
      <c r="M84" s="7" t="s">
        <v>557</v>
      </c>
      <c r="N84" s="12"/>
      <c r="O84" s="12" t="s">
        <v>40</v>
      </c>
      <c r="P84" s="12"/>
      <c r="Q84" s="12"/>
      <c r="R84" s="13"/>
      <c r="S84" s="12"/>
      <c r="T84" s="12"/>
      <c r="U84" s="12"/>
    </row>
    <row r="85" customFormat="false" ht="43.25" hidden="false" customHeight="false" outlineLevel="0" collapsed="false">
      <c r="A85" s="7" t="s">
        <v>558</v>
      </c>
      <c r="B85" s="7" t="s">
        <v>437</v>
      </c>
      <c r="C85" s="7" t="s">
        <v>542</v>
      </c>
      <c r="D85" s="7" t="s">
        <v>543</v>
      </c>
      <c r="E85" s="7" t="s">
        <v>56</v>
      </c>
      <c r="F85" s="7" t="n">
        <v>2</v>
      </c>
      <c r="G85" s="7" t="s">
        <v>554</v>
      </c>
      <c r="H85" s="7" t="s">
        <v>60</v>
      </c>
      <c r="I85" s="7" t="s">
        <v>559</v>
      </c>
      <c r="J85" s="7" t="s">
        <v>546</v>
      </c>
      <c r="K85" s="7" t="s">
        <v>560</v>
      </c>
      <c r="L85" s="7" t="s">
        <v>136</v>
      </c>
      <c r="M85" s="7" t="s">
        <v>561</v>
      </c>
      <c r="N85" s="12"/>
      <c r="O85" s="12" t="s">
        <v>40</v>
      </c>
      <c r="P85" s="12"/>
      <c r="Q85" s="12"/>
      <c r="R85" s="13"/>
      <c r="S85" s="12"/>
      <c r="T85" s="12"/>
      <c r="U85" s="12"/>
    </row>
    <row r="86" customFormat="false" ht="22.35" hidden="false" customHeight="false" outlineLevel="0" collapsed="false">
      <c r="A86" s="7" t="s">
        <v>562</v>
      </c>
      <c r="B86" s="7" t="s">
        <v>437</v>
      </c>
      <c r="C86" s="7" t="s">
        <v>563</v>
      </c>
      <c r="D86" s="7" t="s">
        <v>564</v>
      </c>
      <c r="E86" s="7" t="s">
        <v>56</v>
      </c>
      <c r="F86" s="7" t="n">
        <v>1</v>
      </c>
      <c r="G86" s="7" t="s">
        <v>565</v>
      </c>
      <c r="H86" s="7" t="s">
        <v>59</v>
      </c>
      <c r="I86" s="7" t="s">
        <v>566</v>
      </c>
      <c r="J86" s="7" t="s">
        <v>567</v>
      </c>
      <c r="K86" s="7" t="s">
        <v>568</v>
      </c>
      <c r="L86" s="7" t="s">
        <v>136</v>
      </c>
      <c r="M86" s="7" t="s">
        <v>569</v>
      </c>
      <c r="N86" s="12"/>
      <c r="O86" s="12" t="s">
        <v>40</v>
      </c>
      <c r="P86" s="12"/>
      <c r="Q86" s="12"/>
      <c r="R86" s="13"/>
      <c r="S86" s="12"/>
      <c r="T86" s="12"/>
      <c r="U86" s="12"/>
    </row>
    <row r="87" customFormat="false" ht="22.35" hidden="false" customHeight="false" outlineLevel="0" collapsed="false">
      <c r="A87" s="7" t="s">
        <v>570</v>
      </c>
      <c r="B87" s="7" t="s">
        <v>437</v>
      </c>
      <c r="C87" s="7" t="s">
        <v>563</v>
      </c>
      <c r="D87" s="7" t="s">
        <v>564</v>
      </c>
      <c r="E87" s="7" t="s">
        <v>56</v>
      </c>
      <c r="F87" s="7" t="n">
        <v>1</v>
      </c>
      <c r="G87" s="7" t="s">
        <v>565</v>
      </c>
      <c r="H87" s="7" t="s">
        <v>60</v>
      </c>
      <c r="I87" s="7" t="s">
        <v>571</v>
      </c>
      <c r="J87" s="7" t="s">
        <v>567</v>
      </c>
      <c r="K87" s="7" t="s">
        <v>572</v>
      </c>
      <c r="L87" s="7" t="s">
        <v>136</v>
      </c>
      <c r="M87" s="7" t="s">
        <v>573</v>
      </c>
      <c r="N87" s="12"/>
      <c r="O87" s="12" t="s">
        <v>40</v>
      </c>
      <c r="P87" s="12"/>
      <c r="Q87" s="12"/>
      <c r="R87" s="13"/>
      <c r="S87" s="12"/>
      <c r="T87" s="12"/>
      <c r="U87" s="12"/>
    </row>
    <row r="88" customFormat="false" ht="22.35" hidden="false" customHeight="false" outlineLevel="0" collapsed="false">
      <c r="A88" s="7" t="s">
        <v>574</v>
      </c>
      <c r="B88" s="7" t="s">
        <v>437</v>
      </c>
      <c r="C88" s="7" t="s">
        <v>563</v>
      </c>
      <c r="D88" s="7" t="s">
        <v>564</v>
      </c>
      <c r="E88" s="7" t="s">
        <v>56</v>
      </c>
      <c r="F88" s="7" t="n">
        <v>2</v>
      </c>
      <c r="G88" s="7" t="s">
        <v>575</v>
      </c>
      <c r="H88" s="7" t="s">
        <v>59</v>
      </c>
      <c r="I88" s="7" t="s">
        <v>576</v>
      </c>
      <c r="J88" s="7" t="s">
        <v>567</v>
      </c>
      <c r="K88" s="7" t="s">
        <v>577</v>
      </c>
      <c r="L88" s="7" t="s">
        <v>136</v>
      </c>
      <c r="M88" s="7" t="s">
        <v>578</v>
      </c>
      <c r="N88" s="12"/>
      <c r="O88" s="12" t="s">
        <v>40</v>
      </c>
      <c r="P88" s="12"/>
      <c r="Q88" s="12"/>
      <c r="R88" s="13"/>
      <c r="S88" s="12"/>
      <c r="T88" s="12"/>
      <c r="U88" s="12"/>
    </row>
    <row r="89" customFormat="false" ht="22.35" hidden="false" customHeight="false" outlineLevel="0" collapsed="false">
      <c r="A89" s="7" t="s">
        <v>579</v>
      </c>
      <c r="B89" s="7" t="s">
        <v>437</v>
      </c>
      <c r="C89" s="7" t="s">
        <v>563</v>
      </c>
      <c r="D89" s="7" t="s">
        <v>564</v>
      </c>
      <c r="E89" s="7" t="s">
        <v>56</v>
      </c>
      <c r="F89" s="7" t="n">
        <v>2</v>
      </c>
      <c r="G89" s="7" t="s">
        <v>575</v>
      </c>
      <c r="H89" s="7" t="s">
        <v>60</v>
      </c>
      <c r="I89" s="7" t="s">
        <v>580</v>
      </c>
      <c r="J89" s="7" t="s">
        <v>567</v>
      </c>
      <c r="K89" s="7" t="s">
        <v>581</v>
      </c>
      <c r="L89" s="7" t="s">
        <v>582</v>
      </c>
      <c r="M89" s="7" t="s">
        <v>583</v>
      </c>
      <c r="N89" s="12"/>
      <c r="O89" s="12" t="s">
        <v>40</v>
      </c>
      <c r="P89" s="12"/>
      <c r="Q89" s="12"/>
      <c r="R89" s="13"/>
      <c r="S89" s="12"/>
      <c r="T89" s="12"/>
      <c r="U89" s="12"/>
    </row>
    <row r="90" customFormat="false" ht="22.35" hidden="false" customHeight="false" outlineLevel="0" collapsed="false">
      <c r="A90" s="7" t="s">
        <v>584</v>
      </c>
      <c r="B90" s="7" t="s">
        <v>437</v>
      </c>
      <c r="C90" s="7" t="s">
        <v>563</v>
      </c>
      <c r="D90" s="7" t="s">
        <v>564</v>
      </c>
      <c r="E90" s="7" t="s">
        <v>56</v>
      </c>
      <c r="F90" s="7" t="n">
        <v>3</v>
      </c>
      <c r="G90" s="7" t="s">
        <v>585</v>
      </c>
      <c r="H90" s="7" t="s">
        <v>59</v>
      </c>
      <c r="I90" s="7" t="s">
        <v>586</v>
      </c>
      <c r="J90" s="7" t="s">
        <v>567</v>
      </c>
      <c r="K90" s="7" t="s">
        <v>587</v>
      </c>
      <c r="L90" s="7" t="s">
        <v>136</v>
      </c>
      <c r="M90" s="7" t="s">
        <v>588</v>
      </c>
      <c r="N90" s="12"/>
      <c r="O90" s="12" t="s">
        <v>40</v>
      </c>
      <c r="P90" s="12"/>
      <c r="Q90" s="12"/>
      <c r="R90" s="13"/>
      <c r="S90" s="12"/>
      <c r="T90" s="12"/>
      <c r="U90" s="12"/>
    </row>
    <row r="91" customFormat="false" ht="22.35" hidden="false" customHeight="false" outlineLevel="0" collapsed="false">
      <c r="A91" s="7" t="s">
        <v>589</v>
      </c>
      <c r="B91" s="7" t="s">
        <v>437</v>
      </c>
      <c r="C91" s="7" t="s">
        <v>563</v>
      </c>
      <c r="D91" s="7" t="s">
        <v>564</v>
      </c>
      <c r="E91" s="7" t="s">
        <v>56</v>
      </c>
      <c r="F91" s="7" t="n">
        <v>3</v>
      </c>
      <c r="G91" s="7" t="s">
        <v>585</v>
      </c>
      <c r="H91" s="7" t="s">
        <v>60</v>
      </c>
      <c r="I91" s="7" t="s">
        <v>590</v>
      </c>
      <c r="J91" s="7" t="s">
        <v>567</v>
      </c>
      <c r="K91" s="7" t="s">
        <v>591</v>
      </c>
      <c r="L91" s="7" t="s">
        <v>136</v>
      </c>
      <c r="M91" s="7" t="s">
        <v>592</v>
      </c>
      <c r="N91" s="12"/>
      <c r="O91" s="12" t="s">
        <v>40</v>
      </c>
      <c r="P91" s="12"/>
      <c r="Q91" s="12"/>
      <c r="R91" s="13"/>
      <c r="S91" s="12"/>
      <c r="T91" s="12"/>
      <c r="U91" s="12"/>
    </row>
    <row r="92" customFormat="false" ht="32.8" hidden="false" customHeight="false" outlineLevel="0" collapsed="false">
      <c r="A92" s="7" t="s">
        <v>593</v>
      </c>
      <c r="B92" s="7" t="s">
        <v>437</v>
      </c>
      <c r="C92" s="7" t="s">
        <v>594</v>
      </c>
      <c r="D92" s="7" t="s">
        <v>595</v>
      </c>
      <c r="E92" s="7" t="s">
        <v>57</v>
      </c>
      <c r="F92" s="7" t="n">
        <v>1</v>
      </c>
      <c r="G92" s="7" t="s">
        <v>596</v>
      </c>
      <c r="H92" s="7" t="s">
        <v>59</v>
      </c>
      <c r="I92" s="7" t="s">
        <v>597</v>
      </c>
      <c r="J92" s="7" t="s">
        <v>598</v>
      </c>
      <c r="K92" s="7" t="s">
        <v>599</v>
      </c>
      <c r="L92" s="7" t="s">
        <v>136</v>
      </c>
      <c r="M92" s="7" t="s">
        <v>600</v>
      </c>
      <c r="N92" s="12"/>
      <c r="O92" s="12" t="s">
        <v>40</v>
      </c>
      <c r="P92" s="12"/>
      <c r="Q92" s="12"/>
      <c r="R92" s="13"/>
      <c r="S92" s="12"/>
      <c r="T92" s="12"/>
      <c r="U92" s="12"/>
    </row>
    <row r="93" customFormat="false" ht="22.35" hidden="false" customHeight="false" outlineLevel="0" collapsed="false">
      <c r="A93" s="7" t="s">
        <v>601</v>
      </c>
      <c r="B93" s="7" t="s">
        <v>437</v>
      </c>
      <c r="C93" s="7" t="s">
        <v>594</v>
      </c>
      <c r="D93" s="7" t="s">
        <v>595</v>
      </c>
      <c r="E93" s="7" t="s">
        <v>57</v>
      </c>
      <c r="F93" s="7" t="n">
        <v>1</v>
      </c>
      <c r="G93" s="7" t="s">
        <v>596</v>
      </c>
      <c r="H93" s="7" t="s">
        <v>60</v>
      </c>
      <c r="I93" s="7" t="s">
        <v>602</v>
      </c>
      <c r="J93" s="7" t="s">
        <v>598</v>
      </c>
      <c r="K93" s="7" t="s">
        <v>603</v>
      </c>
      <c r="L93" s="7" t="s">
        <v>136</v>
      </c>
      <c r="M93" s="7" t="s">
        <v>604</v>
      </c>
      <c r="N93" s="12"/>
      <c r="O93" s="12" t="s">
        <v>40</v>
      </c>
      <c r="P93" s="12"/>
      <c r="Q93" s="12"/>
      <c r="R93" s="13"/>
      <c r="S93" s="12"/>
      <c r="T93" s="12"/>
      <c r="U93" s="12"/>
    </row>
    <row r="94" customFormat="false" ht="32.8" hidden="false" customHeight="false" outlineLevel="0" collapsed="false">
      <c r="A94" s="7" t="s">
        <v>605</v>
      </c>
      <c r="B94" s="7" t="s">
        <v>606</v>
      </c>
      <c r="C94" s="7" t="s">
        <v>607</v>
      </c>
      <c r="D94" s="7" t="s">
        <v>608</v>
      </c>
      <c r="E94" s="7" t="s">
        <v>55</v>
      </c>
      <c r="F94" s="7" t="n">
        <v>1</v>
      </c>
      <c r="G94" s="7" t="s">
        <v>609</v>
      </c>
      <c r="H94" s="7" t="s">
        <v>59</v>
      </c>
      <c r="I94" s="7" t="s">
        <v>610</v>
      </c>
      <c r="J94" s="7" t="s">
        <v>611</v>
      </c>
      <c r="K94" s="7" t="s">
        <v>612</v>
      </c>
      <c r="L94" s="7" t="s">
        <v>613</v>
      </c>
      <c r="M94" s="7" t="s">
        <v>614</v>
      </c>
      <c r="N94" s="12"/>
      <c r="O94" s="12" t="s">
        <v>40</v>
      </c>
      <c r="P94" s="12"/>
      <c r="Q94" s="12"/>
      <c r="R94" s="13"/>
      <c r="S94" s="12"/>
      <c r="T94" s="12"/>
      <c r="U94" s="12"/>
    </row>
    <row r="95" customFormat="false" ht="32.8" hidden="false" customHeight="false" outlineLevel="0" collapsed="false">
      <c r="A95" s="7" t="s">
        <v>615</v>
      </c>
      <c r="B95" s="7" t="s">
        <v>606</v>
      </c>
      <c r="C95" s="7" t="s">
        <v>607</v>
      </c>
      <c r="D95" s="7" t="s">
        <v>608</v>
      </c>
      <c r="E95" s="7" t="s">
        <v>55</v>
      </c>
      <c r="F95" s="7" t="n">
        <v>1</v>
      </c>
      <c r="G95" s="7" t="s">
        <v>609</v>
      </c>
      <c r="H95" s="7" t="s">
        <v>60</v>
      </c>
      <c r="I95" s="7" t="s">
        <v>616</v>
      </c>
      <c r="J95" s="7" t="s">
        <v>611</v>
      </c>
      <c r="K95" s="7" t="s">
        <v>617</v>
      </c>
      <c r="L95" s="7" t="s">
        <v>618</v>
      </c>
      <c r="M95" s="7" t="s">
        <v>619</v>
      </c>
      <c r="N95" s="12"/>
      <c r="O95" s="12" t="s">
        <v>40</v>
      </c>
      <c r="P95" s="12"/>
      <c r="Q95" s="12"/>
      <c r="R95" s="13"/>
      <c r="S95" s="12"/>
      <c r="T95" s="12"/>
      <c r="U95" s="12"/>
    </row>
    <row r="96" customFormat="false" ht="32.8" hidden="false" customHeight="false" outlineLevel="0" collapsed="false">
      <c r="A96" s="7" t="s">
        <v>620</v>
      </c>
      <c r="B96" s="7" t="s">
        <v>606</v>
      </c>
      <c r="C96" s="7" t="s">
        <v>607</v>
      </c>
      <c r="D96" s="7" t="s">
        <v>608</v>
      </c>
      <c r="E96" s="7" t="s">
        <v>55</v>
      </c>
      <c r="F96" s="7" t="n">
        <v>2</v>
      </c>
      <c r="G96" s="7" t="s">
        <v>621</v>
      </c>
      <c r="H96" s="7" t="s">
        <v>59</v>
      </c>
      <c r="I96" s="7" t="s">
        <v>622</v>
      </c>
      <c r="J96" s="7" t="s">
        <v>611</v>
      </c>
      <c r="K96" s="7" t="s">
        <v>623</v>
      </c>
      <c r="L96" s="7" t="s">
        <v>136</v>
      </c>
      <c r="M96" s="7" t="s">
        <v>624</v>
      </c>
      <c r="N96" s="12"/>
      <c r="O96" s="12" t="s">
        <v>40</v>
      </c>
      <c r="P96" s="12"/>
      <c r="Q96" s="12"/>
      <c r="R96" s="13"/>
      <c r="S96" s="12"/>
      <c r="T96" s="12"/>
      <c r="U96" s="12"/>
    </row>
    <row r="97" customFormat="false" ht="32.8" hidden="false" customHeight="false" outlineLevel="0" collapsed="false">
      <c r="A97" s="7" t="s">
        <v>625</v>
      </c>
      <c r="B97" s="7" t="s">
        <v>606</v>
      </c>
      <c r="C97" s="7" t="s">
        <v>607</v>
      </c>
      <c r="D97" s="7" t="s">
        <v>608</v>
      </c>
      <c r="E97" s="7" t="s">
        <v>55</v>
      </c>
      <c r="F97" s="7" t="n">
        <v>2</v>
      </c>
      <c r="G97" s="7" t="s">
        <v>621</v>
      </c>
      <c r="H97" s="7" t="s">
        <v>60</v>
      </c>
      <c r="I97" s="7" t="s">
        <v>626</v>
      </c>
      <c r="J97" s="7" t="s">
        <v>611</v>
      </c>
      <c r="K97" s="7" t="s">
        <v>627</v>
      </c>
      <c r="L97" s="7" t="s">
        <v>628</v>
      </c>
      <c r="M97" s="7" t="s">
        <v>629</v>
      </c>
      <c r="N97" s="12"/>
      <c r="O97" s="12" t="s">
        <v>40</v>
      </c>
      <c r="P97" s="12"/>
      <c r="Q97" s="12"/>
      <c r="R97" s="13"/>
      <c r="S97" s="12"/>
      <c r="T97" s="12"/>
      <c r="U97" s="12"/>
    </row>
    <row r="98" customFormat="false" ht="32.8" hidden="false" customHeight="false" outlineLevel="0" collapsed="false">
      <c r="A98" s="7" t="s">
        <v>630</v>
      </c>
      <c r="B98" s="7" t="s">
        <v>606</v>
      </c>
      <c r="C98" s="7" t="s">
        <v>607</v>
      </c>
      <c r="D98" s="7" t="s">
        <v>608</v>
      </c>
      <c r="E98" s="7" t="s">
        <v>55</v>
      </c>
      <c r="F98" s="7" t="n">
        <v>3</v>
      </c>
      <c r="G98" s="7" t="s">
        <v>631</v>
      </c>
      <c r="H98" s="7" t="s">
        <v>59</v>
      </c>
      <c r="I98" s="7" t="s">
        <v>632</v>
      </c>
      <c r="J98" s="7" t="s">
        <v>611</v>
      </c>
      <c r="K98" s="7" t="s">
        <v>633</v>
      </c>
      <c r="L98" s="7" t="s">
        <v>136</v>
      </c>
      <c r="M98" s="7" t="s">
        <v>634</v>
      </c>
      <c r="N98" s="12"/>
      <c r="O98" s="12" t="s">
        <v>40</v>
      </c>
      <c r="P98" s="12"/>
      <c r="Q98" s="12"/>
      <c r="R98" s="13"/>
      <c r="S98" s="12"/>
      <c r="T98" s="12"/>
      <c r="U98" s="12"/>
    </row>
    <row r="99" customFormat="false" ht="32.8" hidden="false" customHeight="false" outlineLevel="0" collapsed="false">
      <c r="A99" s="7" t="s">
        <v>635</v>
      </c>
      <c r="B99" s="7" t="s">
        <v>606</v>
      </c>
      <c r="C99" s="7" t="s">
        <v>607</v>
      </c>
      <c r="D99" s="7" t="s">
        <v>608</v>
      </c>
      <c r="E99" s="7" t="s">
        <v>55</v>
      </c>
      <c r="F99" s="7" t="n">
        <v>3</v>
      </c>
      <c r="G99" s="7" t="s">
        <v>631</v>
      </c>
      <c r="H99" s="7" t="s">
        <v>60</v>
      </c>
      <c r="I99" s="7" t="s">
        <v>636</v>
      </c>
      <c r="J99" s="7" t="s">
        <v>611</v>
      </c>
      <c r="K99" s="7" t="s">
        <v>637</v>
      </c>
      <c r="L99" s="7" t="s">
        <v>136</v>
      </c>
      <c r="M99" s="7" t="s">
        <v>638</v>
      </c>
      <c r="N99" s="12"/>
      <c r="O99" s="12" t="s">
        <v>40</v>
      </c>
      <c r="P99" s="12"/>
      <c r="Q99" s="12"/>
      <c r="R99" s="13"/>
      <c r="S99" s="12"/>
      <c r="T99" s="12"/>
      <c r="U99" s="12"/>
    </row>
    <row r="100" customFormat="false" ht="32.8" hidden="false" customHeight="false" outlineLevel="0" collapsed="false">
      <c r="A100" s="7" t="s">
        <v>639</v>
      </c>
      <c r="B100" s="7" t="s">
        <v>606</v>
      </c>
      <c r="C100" s="7" t="s">
        <v>640</v>
      </c>
      <c r="D100" s="7" t="s">
        <v>641</v>
      </c>
      <c r="E100" s="7" t="s">
        <v>54</v>
      </c>
      <c r="F100" s="7" t="n">
        <v>1</v>
      </c>
      <c r="G100" s="7" t="s">
        <v>642</v>
      </c>
      <c r="H100" s="7" t="s">
        <v>59</v>
      </c>
      <c r="I100" s="7" t="s">
        <v>643</v>
      </c>
      <c r="J100" s="7" t="s">
        <v>644</v>
      </c>
      <c r="K100" s="7" t="s">
        <v>645</v>
      </c>
      <c r="L100" s="7" t="s">
        <v>646</v>
      </c>
      <c r="M100" s="7" t="s">
        <v>647</v>
      </c>
      <c r="N100" s="12"/>
      <c r="O100" s="12" t="s">
        <v>40</v>
      </c>
      <c r="P100" s="12"/>
      <c r="Q100" s="12"/>
      <c r="R100" s="13"/>
      <c r="S100" s="12"/>
      <c r="T100" s="12"/>
      <c r="U100" s="12"/>
    </row>
    <row r="101" customFormat="false" ht="32.8" hidden="false" customHeight="false" outlineLevel="0" collapsed="false">
      <c r="A101" s="7" t="s">
        <v>648</v>
      </c>
      <c r="B101" s="7" t="s">
        <v>606</v>
      </c>
      <c r="C101" s="7" t="s">
        <v>640</v>
      </c>
      <c r="D101" s="7" t="s">
        <v>641</v>
      </c>
      <c r="E101" s="7" t="s">
        <v>54</v>
      </c>
      <c r="F101" s="7" t="n">
        <v>1</v>
      </c>
      <c r="G101" s="7" t="s">
        <v>642</v>
      </c>
      <c r="H101" s="7" t="s">
        <v>60</v>
      </c>
      <c r="I101" s="7" t="s">
        <v>649</v>
      </c>
      <c r="J101" s="7" t="s">
        <v>644</v>
      </c>
      <c r="K101" s="7" t="s">
        <v>650</v>
      </c>
      <c r="L101" s="7" t="s">
        <v>136</v>
      </c>
      <c r="M101" s="7" t="s">
        <v>651</v>
      </c>
      <c r="N101" s="12"/>
      <c r="O101" s="12" t="s">
        <v>40</v>
      </c>
      <c r="P101" s="12"/>
      <c r="Q101" s="12"/>
      <c r="R101" s="13"/>
      <c r="S101" s="12"/>
      <c r="T101" s="12"/>
      <c r="U101" s="12"/>
    </row>
    <row r="102" customFormat="false" ht="32.8" hidden="false" customHeight="false" outlineLevel="0" collapsed="false">
      <c r="A102" s="7" t="s">
        <v>652</v>
      </c>
      <c r="B102" s="7" t="s">
        <v>606</v>
      </c>
      <c r="C102" s="7" t="s">
        <v>640</v>
      </c>
      <c r="D102" s="7" t="s">
        <v>641</v>
      </c>
      <c r="E102" s="7" t="s">
        <v>54</v>
      </c>
      <c r="F102" s="7" t="n">
        <v>2</v>
      </c>
      <c r="G102" s="7" t="s">
        <v>653</v>
      </c>
      <c r="H102" s="7" t="s">
        <v>59</v>
      </c>
      <c r="I102" s="7" t="s">
        <v>654</v>
      </c>
      <c r="J102" s="7" t="s">
        <v>644</v>
      </c>
      <c r="K102" s="7" t="s">
        <v>655</v>
      </c>
      <c r="L102" s="7" t="s">
        <v>656</v>
      </c>
      <c r="M102" s="7" t="s">
        <v>657</v>
      </c>
      <c r="N102" s="12"/>
      <c r="O102" s="12" t="s">
        <v>40</v>
      </c>
      <c r="P102" s="12"/>
      <c r="Q102" s="12"/>
      <c r="R102" s="13"/>
      <c r="S102" s="12"/>
      <c r="T102" s="12"/>
      <c r="U102" s="12"/>
    </row>
    <row r="103" customFormat="false" ht="32.8" hidden="false" customHeight="false" outlineLevel="0" collapsed="false">
      <c r="A103" s="7" t="s">
        <v>658</v>
      </c>
      <c r="B103" s="7" t="s">
        <v>606</v>
      </c>
      <c r="C103" s="7" t="s">
        <v>640</v>
      </c>
      <c r="D103" s="7" t="s">
        <v>641</v>
      </c>
      <c r="E103" s="7" t="s">
        <v>54</v>
      </c>
      <c r="F103" s="7" t="n">
        <v>2</v>
      </c>
      <c r="G103" s="7" t="s">
        <v>653</v>
      </c>
      <c r="H103" s="7" t="s">
        <v>60</v>
      </c>
      <c r="I103" s="7" t="s">
        <v>659</v>
      </c>
      <c r="J103" s="7" t="s">
        <v>644</v>
      </c>
      <c r="K103" s="7" t="s">
        <v>660</v>
      </c>
      <c r="L103" s="7" t="s">
        <v>136</v>
      </c>
      <c r="M103" s="7" t="s">
        <v>661</v>
      </c>
      <c r="N103" s="12"/>
      <c r="O103" s="12" t="s">
        <v>40</v>
      </c>
      <c r="P103" s="12"/>
      <c r="Q103" s="12"/>
      <c r="R103" s="13"/>
      <c r="S103" s="12"/>
      <c r="T103" s="12"/>
      <c r="U103" s="12"/>
    </row>
    <row r="104" customFormat="false" ht="32.8" hidden="false" customHeight="false" outlineLevel="0" collapsed="false">
      <c r="A104" s="7" t="s">
        <v>662</v>
      </c>
      <c r="B104" s="7" t="s">
        <v>606</v>
      </c>
      <c r="C104" s="7" t="s">
        <v>640</v>
      </c>
      <c r="D104" s="7" t="s">
        <v>641</v>
      </c>
      <c r="E104" s="7" t="s">
        <v>54</v>
      </c>
      <c r="F104" s="7" t="n">
        <v>3</v>
      </c>
      <c r="G104" s="7" t="s">
        <v>663</v>
      </c>
      <c r="H104" s="7" t="s">
        <v>59</v>
      </c>
      <c r="I104" s="7" t="s">
        <v>664</v>
      </c>
      <c r="J104" s="7" t="s">
        <v>644</v>
      </c>
      <c r="K104" s="7" t="s">
        <v>665</v>
      </c>
      <c r="L104" s="7" t="s">
        <v>136</v>
      </c>
      <c r="M104" s="7" t="s">
        <v>666</v>
      </c>
      <c r="N104" s="12"/>
      <c r="O104" s="12" t="s">
        <v>40</v>
      </c>
      <c r="P104" s="12"/>
      <c r="Q104" s="12"/>
      <c r="R104" s="13"/>
      <c r="S104" s="12"/>
      <c r="T104" s="12"/>
      <c r="U104" s="12"/>
    </row>
    <row r="105" customFormat="false" ht="32.8" hidden="false" customHeight="false" outlineLevel="0" collapsed="false">
      <c r="A105" s="7" t="s">
        <v>667</v>
      </c>
      <c r="B105" s="7" t="s">
        <v>606</v>
      </c>
      <c r="C105" s="7" t="s">
        <v>640</v>
      </c>
      <c r="D105" s="7" t="s">
        <v>641</v>
      </c>
      <c r="E105" s="7" t="s">
        <v>54</v>
      </c>
      <c r="F105" s="7" t="n">
        <v>3</v>
      </c>
      <c r="G105" s="7" t="s">
        <v>663</v>
      </c>
      <c r="H105" s="7" t="s">
        <v>60</v>
      </c>
      <c r="I105" s="7" t="s">
        <v>668</v>
      </c>
      <c r="J105" s="7" t="s">
        <v>644</v>
      </c>
      <c r="K105" s="7" t="s">
        <v>669</v>
      </c>
      <c r="L105" s="7" t="s">
        <v>136</v>
      </c>
      <c r="M105" s="7" t="s">
        <v>670</v>
      </c>
      <c r="N105" s="12"/>
      <c r="O105" s="12" t="s">
        <v>40</v>
      </c>
      <c r="P105" s="12"/>
      <c r="Q105" s="12"/>
      <c r="R105" s="13"/>
      <c r="S105" s="12"/>
      <c r="T105" s="12"/>
      <c r="U105" s="12"/>
    </row>
    <row r="106" customFormat="false" ht="22.35" hidden="false" customHeight="false" outlineLevel="0" collapsed="false">
      <c r="A106" s="7" t="s">
        <v>671</v>
      </c>
      <c r="B106" s="7" t="s">
        <v>606</v>
      </c>
      <c r="C106" s="7" t="s">
        <v>672</v>
      </c>
      <c r="D106" s="7" t="s">
        <v>673</v>
      </c>
      <c r="E106" s="7" t="s">
        <v>55</v>
      </c>
      <c r="F106" s="7" t="n">
        <v>1</v>
      </c>
      <c r="G106" s="7" t="s">
        <v>674</v>
      </c>
      <c r="H106" s="7" t="s">
        <v>59</v>
      </c>
      <c r="I106" s="7" t="s">
        <v>675</v>
      </c>
      <c r="J106" s="7" t="s">
        <v>676</v>
      </c>
      <c r="K106" s="7" t="s">
        <v>677</v>
      </c>
      <c r="L106" s="7" t="s">
        <v>678</v>
      </c>
      <c r="M106" s="7" t="s">
        <v>679</v>
      </c>
      <c r="N106" s="12"/>
      <c r="O106" s="12" t="s">
        <v>40</v>
      </c>
      <c r="P106" s="12"/>
      <c r="Q106" s="12"/>
      <c r="R106" s="13"/>
      <c r="S106" s="12"/>
      <c r="T106" s="12"/>
      <c r="U106" s="12"/>
    </row>
    <row r="107" customFormat="false" ht="22.35" hidden="false" customHeight="false" outlineLevel="0" collapsed="false">
      <c r="A107" s="7" t="s">
        <v>680</v>
      </c>
      <c r="B107" s="7" t="s">
        <v>606</v>
      </c>
      <c r="C107" s="7" t="s">
        <v>672</v>
      </c>
      <c r="D107" s="7" t="s">
        <v>673</v>
      </c>
      <c r="E107" s="7" t="s">
        <v>55</v>
      </c>
      <c r="F107" s="7" t="n">
        <v>1</v>
      </c>
      <c r="G107" s="7" t="s">
        <v>674</v>
      </c>
      <c r="H107" s="7" t="s">
        <v>60</v>
      </c>
      <c r="I107" s="7" t="s">
        <v>681</v>
      </c>
      <c r="J107" s="7" t="s">
        <v>676</v>
      </c>
      <c r="K107" s="7" t="s">
        <v>682</v>
      </c>
      <c r="L107" s="7" t="s">
        <v>136</v>
      </c>
      <c r="M107" s="7" t="s">
        <v>683</v>
      </c>
      <c r="N107" s="12"/>
      <c r="O107" s="12" t="s">
        <v>40</v>
      </c>
      <c r="P107" s="12"/>
      <c r="Q107" s="12"/>
      <c r="R107" s="13"/>
      <c r="S107" s="12"/>
      <c r="T107" s="12"/>
      <c r="U107" s="12"/>
    </row>
    <row r="108" customFormat="false" ht="22.35" hidden="false" customHeight="false" outlineLevel="0" collapsed="false">
      <c r="A108" s="7" t="s">
        <v>684</v>
      </c>
      <c r="B108" s="7" t="s">
        <v>606</v>
      </c>
      <c r="C108" s="7" t="s">
        <v>672</v>
      </c>
      <c r="D108" s="7" t="s">
        <v>673</v>
      </c>
      <c r="E108" s="7" t="s">
        <v>55</v>
      </c>
      <c r="F108" s="7" t="n">
        <v>2</v>
      </c>
      <c r="G108" s="7" t="s">
        <v>685</v>
      </c>
      <c r="H108" s="7" t="s">
        <v>59</v>
      </c>
      <c r="I108" s="7" t="s">
        <v>686</v>
      </c>
      <c r="J108" s="7" t="s">
        <v>676</v>
      </c>
      <c r="K108" s="7" t="s">
        <v>687</v>
      </c>
      <c r="L108" s="7" t="s">
        <v>136</v>
      </c>
      <c r="M108" s="7" t="s">
        <v>688</v>
      </c>
      <c r="N108" s="12"/>
      <c r="O108" s="12" t="s">
        <v>40</v>
      </c>
      <c r="P108" s="12"/>
      <c r="Q108" s="12"/>
      <c r="R108" s="13"/>
      <c r="S108" s="12"/>
      <c r="T108" s="12"/>
      <c r="U108" s="12"/>
    </row>
    <row r="109" customFormat="false" ht="22.35" hidden="false" customHeight="false" outlineLevel="0" collapsed="false">
      <c r="A109" s="7" t="s">
        <v>689</v>
      </c>
      <c r="B109" s="7" t="s">
        <v>606</v>
      </c>
      <c r="C109" s="7" t="s">
        <v>672</v>
      </c>
      <c r="D109" s="7" t="s">
        <v>673</v>
      </c>
      <c r="E109" s="7" t="s">
        <v>55</v>
      </c>
      <c r="F109" s="7" t="n">
        <v>2</v>
      </c>
      <c r="G109" s="7" t="s">
        <v>685</v>
      </c>
      <c r="H109" s="7" t="s">
        <v>60</v>
      </c>
      <c r="I109" s="7" t="s">
        <v>690</v>
      </c>
      <c r="J109" s="7" t="s">
        <v>676</v>
      </c>
      <c r="K109" s="7" t="s">
        <v>691</v>
      </c>
      <c r="L109" s="7" t="s">
        <v>692</v>
      </c>
      <c r="M109" s="7" t="s">
        <v>693</v>
      </c>
      <c r="N109" s="12"/>
      <c r="O109" s="12" t="s">
        <v>40</v>
      </c>
      <c r="P109" s="12"/>
      <c r="Q109" s="12"/>
      <c r="R109" s="13"/>
      <c r="S109" s="12"/>
      <c r="T109" s="12"/>
      <c r="U109" s="12"/>
    </row>
    <row r="110" customFormat="false" ht="32.8" hidden="false" customHeight="false" outlineLevel="0" collapsed="false">
      <c r="A110" s="7" t="s">
        <v>694</v>
      </c>
      <c r="B110" s="7" t="s">
        <v>606</v>
      </c>
      <c r="C110" s="7" t="s">
        <v>695</v>
      </c>
      <c r="D110" s="7" t="s">
        <v>696</v>
      </c>
      <c r="E110" s="7" t="s">
        <v>56</v>
      </c>
      <c r="F110" s="7" t="n">
        <v>1</v>
      </c>
      <c r="G110" s="7" t="s">
        <v>697</v>
      </c>
      <c r="H110" s="7" t="s">
        <v>59</v>
      </c>
      <c r="I110" s="7" t="s">
        <v>698</v>
      </c>
      <c r="J110" s="7" t="s">
        <v>699</v>
      </c>
      <c r="K110" s="7" t="s">
        <v>700</v>
      </c>
      <c r="L110" s="7" t="s">
        <v>701</v>
      </c>
      <c r="M110" s="7" t="s">
        <v>702</v>
      </c>
      <c r="N110" s="12"/>
      <c r="O110" s="12" t="s">
        <v>40</v>
      </c>
      <c r="P110" s="12"/>
      <c r="Q110" s="12"/>
      <c r="R110" s="13"/>
      <c r="S110" s="12"/>
      <c r="T110" s="12"/>
      <c r="U110" s="12"/>
    </row>
    <row r="111" customFormat="false" ht="32.8" hidden="false" customHeight="false" outlineLevel="0" collapsed="false">
      <c r="A111" s="7" t="s">
        <v>703</v>
      </c>
      <c r="B111" s="7" t="s">
        <v>606</v>
      </c>
      <c r="C111" s="7" t="s">
        <v>695</v>
      </c>
      <c r="D111" s="7" t="s">
        <v>696</v>
      </c>
      <c r="E111" s="7" t="s">
        <v>56</v>
      </c>
      <c r="F111" s="7" t="n">
        <v>1</v>
      </c>
      <c r="G111" s="7" t="s">
        <v>697</v>
      </c>
      <c r="H111" s="7" t="s">
        <v>60</v>
      </c>
      <c r="I111" s="7" t="s">
        <v>704</v>
      </c>
      <c r="J111" s="7" t="s">
        <v>699</v>
      </c>
      <c r="K111" s="7" t="s">
        <v>705</v>
      </c>
      <c r="L111" s="7" t="s">
        <v>136</v>
      </c>
      <c r="M111" s="7" t="s">
        <v>706</v>
      </c>
      <c r="N111" s="12"/>
      <c r="O111" s="12" t="s">
        <v>40</v>
      </c>
      <c r="P111" s="12"/>
      <c r="Q111" s="12"/>
      <c r="R111" s="13"/>
      <c r="S111" s="12"/>
      <c r="T111" s="12"/>
      <c r="U111" s="12"/>
    </row>
    <row r="112" customFormat="false" ht="32.8" hidden="false" customHeight="false" outlineLevel="0" collapsed="false">
      <c r="A112" s="7" t="s">
        <v>707</v>
      </c>
      <c r="B112" s="7" t="s">
        <v>606</v>
      </c>
      <c r="C112" s="7" t="s">
        <v>695</v>
      </c>
      <c r="D112" s="7" t="s">
        <v>696</v>
      </c>
      <c r="E112" s="7" t="s">
        <v>56</v>
      </c>
      <c r="F112" s="7" t="n">
        <v>2</v>
      </c>
      <c r="G112" s="7" t="s">
        <v>708</v>
      </c>
      <c r="H112" s="7" t="s">
        <v>59</v>
      </c>
      <c r="I112" s="7" t="s">
        <v>709</v>
      </c>
      <c r="J112" s="7" t="s">
        <v>699</v>
      </c>
      <c r="K112" s="7" t="s">
        <v>710</v>
      </c>
      <c r="L112" s="7" t="s">
        <v>136</v>
      </c>
      <c r="M112" s="7" t="s">
        <v>711</v>
      </c>
      <c r="N112" s="12"/>
      <c r="O112" s="12" t="s">
        <v>40</v>
      </c>
      <c r="P112" s="12"/>
      <c r="Q112" s="12"/>
      <c r="R112" s="13"/>
      <c r="S112" s="12"/>
      <c r="T112" s="12"/>
      <c r="U112" s="12"/>
    </row>
    <row r="113" customFormat="false" ht="32.8" hidden="false" customHeight="false" outlineLevel="0" collapsed="false">
      <c r="A113" s="7" t="s">
        <v>712</v>
      </c>
      <c r="B113" s="7" t="s">
        <v>606</v>
      </c>
      <c r="C113" s="7" t="s">
        <v>695</v>
      </c>
      <c r="D113" s="7" t="s">
        <v>696</v>
      </c>
      <c r="E113" s="7" t="s">
        <v>56</v>
      </c>
      <c r="F113" s="7" t="n">
        <v>2</v>
      </c>
      <c r="G113" s="7" t="s">
        <v>708</v>
      </c>
      <c r="H113" s="7" t="s">
        <v>60</v>
      </c>
      <c r="I113" s="7" t="s">
        <v>713</v>
      </c>
      <c r="J113" s="7" t="s">
        <v>699</v>
      </c>
      <c r="K113" s="7" t="s">
        <v>714</v>
      </c>
      <c r="L113" s="7" t="s">
        <v>136</v>
      </c>
      <c r="M113" s="7" t="s">
        <v>715</v>
      </c>
      <c r="N113" s="12"/>
      <c r="O113" s="12" t="s">
        <v>40</v>
      </c>
      <c r="P113" s="12"/>
      <c r="Q113" s="12"/>
      <c r="R113" s="13"/>
      <c r="S113" s="12"/>
      <c r="T113" s="12"/>
      <c r="U113" s="12"/>
    </row>
    <row r="114" customFormat="false" ht="32.8" hidden="false" customHeight="false" outlineLevel="0" collapsed="false">
      <c r="A114" s="7" t="s">
        <v>716</v>
      </c>
      <c r="B114" s="7" t="s">
        <v>606</v>
      </c>
      <c r="C114" s="7" t="s">
        <v>695</v>
      </c>
      <c r="D114" s="7" t="s">
        <v>696</v>
      </c>
      <c r="E114" s="7" t="s">
        <v>56</v>
      </c>
      <c r="F114" s="7" t="n">
        <v>3</v>
      </c>
      <c r="G114" s="7" t="s">
        <v>717</v>
      </c>
      <c r="H114" s="7" t="s">
        <v>59</v>
      </c>
      <c r="I114" s="7" t="s">
        <v>718</v>
      </c>
      <c r="J114" s="7" t="s">
        <v>699</v>
      </c>
      <c r="K114" s="7" t="s">
        <v>719</v>
      </c>
      <c r="L114" s="7" t="s">
        <v>720</v>
      </c>
      <c r="M114" s="7" t="s">
        <v>721</v>
      </c>
      <c r="N114" s="12"/>
      <c r="O114" s="12" t="s">
        <v>40</v>
      </c>
      <c r="P114" s="12"/>
      <c r="Q114" s="12"/>
      <c r="R114" s="13"/>
      <c r="S114" s="12"/>
      <c r="T114" s="12"/>
      <c r="U114" s="12"/>
    </row>
    <row r="115" customFormat="false" ht="32.8" hidden="false" customHeight="false" outlineLevel="0" collapsed="false">
      <c r="A115" s="7" t="s">
        <v>722</v>
      </c>
      <c r="B115" s="7" t="s">
        <v>606</v>
      </c>
      <c r="C115" s="7" t="s">
        <v>695</v>
      </c>
      <c r="D115" s="7" t="s">
        <v>696</v>
      </c>
      <c r="E115" s="7" t="s">
        <v>56</v>
      </c>
      <c r="F115" s="7" t="n">
        <v>3</v>
      </c>
      <c r="G115" s="7" t="s">
        <v>717</v>
      </c>
      <c r="H115" s="7" t="s">
        <v>60</v>
      </c>
      <c r="I115" s="7" t="s">
        <v>723</v>
      </c>
      <c r="J115" s="7" t="s">
        <v>699</v>
      </c>
      <c r="K115" s="7" t="s">
        <v>724</v>
      </c>
      <c r="L115" s="7" t="s">
        <v>725</v>
      </c>
      <c r="M115" s="7" t="s">
        <v>726</v>
      </c>
      <c r="N115" s="12"/>
      <c r="O115" s="12" t="s">
        <v>40</v>
      </c>
      <c r="P115" s="12"/>
      <c r="Q115" s="12"/>
      <c r="R115" s="13"/>
      <c r="S115" s="12"/>
      <c r="T115" s="12"/>
      <c r="U115" s="12"/>
    </row>
    <row r="116" customFormat="false" ht="32.8" hidden="false" customHeight="false" outlineLevel="0" collapsed="false">
      <c r="A116" s="7" t="s">
        <v>727</v>
      </c>
      <c r="B116" s="7" t="s">
        <v>606</v>
      </c>
      <c r="C116" s="7" t="s">
        <v>728</v>
      </c>
      <c r="D116" s="7" t="s">
        <v>729</v>
      </c>
      <c r="E116" s="7" t="s">
        <v>57</v>
      </c>
      <c r="F116" s="7" t="n">
        <v>1</v>
      </c>
      <c r="G116" s="7" t="s">
        <v>730</v>
      </c>
      <c r="H116" s="7" t="s">
        <v>59</v>
      </c>
      <c r="I116" s="7" t="s">
        <v>731</v>
      </c>
      <c r="J116" s="7" t="s">
        <v>732</v>
      </c>
      <c r="K116" s="7" t="s">
        <v>733</v>
      </c>
      <c r="L116" s="7" t="s">
        <v>136</v>
      </c>
      <c r="M116" s="7" t="s">
        <v>734</v>
      </c>
      <c r="N116" s="12"/>
      <c r="O116" s="12" t="s">
        <v>40</v>
      </c>
      <c r="P116" s="12"/>
      <c r="Q116" s="12"/>
      <c r="R116" s="13"/>
      <c r="S116" s="12"/>
      <c r="T116" s="12"/>
      <c r="U116" s="12"/>
    </row>
    <row r="117" customFormat="false" ht="22.35" hidden="false" customHeight="false" outlineLevel="0" collapsed="false">
      <c r="A117" s="7" t="s">
        <v>735</v>
      </c>
      <c r="B117" s="7" t="s">
        <v>606</v>
      </c>
      <c r="C117" s="7" t="s">
        <v>728</v>
      </c>
      <c r="D117" s="7" t="s">
        <v>729</v>
      </c>
      <c r="E117" s="7" t="s">
        <v>57</v>
      </c>
      <c r="F117" s="7" t="n">
        <v>1</v>
      </c>
      <c r="G117" s="7" t="s">
        <v>730</v>
      </c>
      <c r="H117" s="7" t="s">
        <v>60</v>
      </c>
      <c r="I117" s="7" t="s">
        <v>736</v>
      </c>
      <c r="J117" s="7" t="s">
        <v>732</v>
      </c>
      <c r="K117" s="7" t="s">
        <v>737</v>
      </c>
      <c r="L117" s="7" t="s">
        <v>136</v>
      </c>
      <c r="M117" s="7" t="s">
        <v>738</v>
      </c>
      <c r="N117" s="12"/>
      <c r="O117" s="12" t="s">
        <v>40</v>
      </c>
      <c r="P117" s="12"/>
      <c r="Q117" s="12"/>
      <c r="R117" s="13"/>
      <c r="S117" s="12"/>
      <c r="T117" s="12"/>
      <c r="U117" s="12"/>
    </row>
    <row r="118" customFormat="false" ht="22.35" hidden="false" customHeight="false" outlineLevel="0" collapsed="false">
      <c r="A118" s="7" t="s">
        <v>739</v>
      </c>
      <c r="B118" s="7" t="s">
        <v>606</v>
      </c>
      <c r="C118" s="7" t="s">
        <v>728</v>
      </c>
      <c r="D118" s="7" t="s">
        <v>729</v>
      </c>
      <c r="E118" s="7" t="s">
        <v>57</v>
      </c>
      <c r="F118" s="7" t="n">
        <v>2</v>
      </c>
      <c r="G118" s="7" t="s">
        <v>740</v>
      </c>
      <c r="H118" s="7" t="s">
        <v>59</v>
      </c>
      <c r="I118" s="7" t="s">
        <v>741</v>
      </c>
      <c r="J118" s="7" t="s">
        <v>732</v>
      </c>
      <c r="K118" s="7" t="s">
        <v>742</v>
      </c>
      <c r="L118" s="7" t="s">
        <v>136</v>
      </c>
      <c r="M118" s="7" t="s">
        <v>743</v>
      </c>
      <c r="N118" s="12"/>
      <c r="O118" s="12" t="s">
        <v>40</v>
      </c>
      <c r="P118" s="12"/>
      <c r="Q118" s="12"/>
      <c r="R118" s="13"/>
      <c r="S118" s="12"/>
      <c r="T118" s="12"/>
      <c r="U118" s="12"/>
    </row>
    <row r="119" customFormat="false" ht="22.35" hidden="false" customHeight="false" outlineLevel="0" collapsed="false">
      <c r="A119" s="7" t="s">
        <v>744</v>
      </c>
      <c r="B119" s="7" t="s">
        <v>606</v>
      </c>
      <c r="C119" s="7" t="s">
        <v>728</v>
      </c>
      <c r="D119" s="7" t="s">
        <v>729</v>
      </c>
      <c r="E119" s="7" t="s">
        <v>57</v>
      </c>
      <c r="F119" s="7" t="n">
        <v>2</v>
      </c>
      <c r="G119" s="7" t="s">
        <v>740</v>
      </c>
      <c r="H119" s="7" t="s">
        <v>60</v>
      </c>
      <c r="I119" s="7" t="s">
        <v>745</v>
      </c>
      <c r="J119" s="7" t="s">
        <v>732</v>
      </c>
      <c r="K119" s="7" t="s">
        <v>746</v>
      </c>
      <c r="L119" s="7" t="s">
        <v>136</v>
      </c>
      <c r="M119" s="7" t="s">
        <v>747</v>
      </c>
      <c r="N119" s="12"/>
      <c r="O119" s="12" t="s">
        <v>40</v>
      </c>
      <c r="P119" s="12"/>
      <c r="Q119" s="12"/>
      <c r="R119" s="13"/>
      <c r="S119" s="12"/>
      <c r="T119" s="12"/>
      <c r="U119" s="12"/>
    </row>
    <row r="120" customFormat="false" ht="22.35" hidden="false" customHeight="false" outlineLevel="0" collapsed="false">
      <c r="A120" s="7" t="s">
        <v>748</v>
      </c>
      <c r="B120" s="7" t="s">
        <v>606</v>
      </c>
      <c r="C120" s="7" t="s">
        <v>749</v>
      </c>
      <c r="D120" s="7" t="s">
        <v>750</v>
      </c>
      <c r="E120" s="7" t="s">
        <v>57</v>
      </c>
      <c r="F120" s="7" t="n">
        <v>1</v>
      </c>
      <c r="G120" s="7" t="s">
        <v>751</v>
      </c>
      <c r="H120" s="7" t="s">
        <v>59</v>
      </c>
      <c r="I120" s="7" t="s">
        <v>752</v>
      </c>
      <c r="J120" s="7" t="s">
        <v>753</v>
      </c>
      <c r="K120" s="7" t="s">
        <v>754</v>
      </c>
      <c r="L120" s="7" t="s">
        <v>136</v>
      </c>
      <c r="M120" s="7" t="s">
        <v>755</v>
      </c>
      <c r="N120" s="12"/>
      <c r="O120" s="12" t="s">
        <v>40</v>
      </c>
      <c r="P120" s="12"/>
      <c r="Q120" s="12"/>
      <c r="R120" s="13"/>
      <c r="S120" s="12"/>
      <c r="T120" s="12"/>
      <c r="U120" s="12"/>
    </row>
    <row r="121" customFormat="false" ht="22.35" hidden="false" customHeight="false" outlineLevel="0" collapsed="false">
      <c r="A121" s="7" t="s">
        <v>756</v>
      </c>
      <c r="B121" s="7" t="s">
        <v>606</v>
      </c>
      <c r="C121" s="7" t="s">
        <v>749</v>
      </c>
      <c r="D121" s="7" t="s">
        <v>750</v>
      </c>
      <c r="E121" s="7" t="s">
        <v>57</v>
      </c>
      <c r="F121" s="7" t="n">
        <v>1</v>
      </c>
      <c r="G121" s="7" t="s">
        <v>751</v>
      </c>
      <c r="H121" s="7" t="s">
        <v>60</v>
      </c>
      <c r="I121" s="7" t="s">
        <v>757</v>
      </c>
      <c r="J121" s="7" t="s">
        <v>753</v>
      </c>
      <c r="K121" s="7" t="s">
        <v>758</v>
      </c>
      <c r="L121" s="7" t="s">
        <v>136</v>
      </c>
      <c r="M121" s="7" t="s">
        <v>759</v>
      </c>
      <c r="N121" s="12"/>
      <c r="O121" s="12" t="s">
        <v>40</v>
      </c>
      <c r="P121" s="12"/>
      <c r="Q121" s="12"/>
      <c r="R121" s="13"/>
      <c r="S121" s="12"/>
      <c r="T121" s="12"/>
      <c r="U121" s="12"/>
    </row>
    <row r="122" customFormat="false" ht="22.35" hidden="false" customHeight="false" outlineLevel="0" collapsed="false">
      <c r="A122" s="7" t="s">
        <v>760</v>
      </c>
      <c r="B122" s="7" t="s">
        <v>606</v>
      </c>
      <c r="C122" s="7" t="s">
        <v>749</v>
      </c>
      <c r="D122" s="7" t="s">
        <v>750</v>
      </c>
      <c r="E122" s="7" t="s">
        <v>57</v>
      </c>
      <c r="F122" s="7" t="n">
        <v>2</v>
      </c>
      <c r="G122" s="7" t="s">
        <v>761</v>
      </c>
      <c r="H122" s="7" t="s">
        <v>59</v>
      </c>
      <c r="I122" s="7" t="s">
        <v>762</v>
      </c>
      <c r="J122" s="7" t="s">
        <v>753</v>
      </c>
      <c r="K122" s="7" t="s">
        <v>763</v>
      </c>
      <c r="L122" s="7" t="s">
        <v>136</v>
      </c>
      <c r="M122" s="7" t="s">
        <v>764</v>
      </c>
      <c r="N122" s="12"/>
      <c r="O122" s="12" t="s">
        <v>40</v>
      </c>
      <c r="P122" s="12"/>
      <c r="Q122" s="12"/>
      <c r="R122" s="13"/>
      <c r="S122" s="12"/>
      <c r="T122" s="12"/>
      <c r="U122" s="12"/>
    </row>
    <row r="123" customFormat="false" ht="22.35" hidden="false" customHeight="false" outlineLevel="0" collapsed="false">
      <c r="A123" s="7" t="s">
        <v>765</v>
      </c>
      <c r="B123" s="7" t="s">
        <v>606</v>
      </c>
      <c r="C123" s="7" t="s">
        <v>749</v>
      </c>
      <c r="D123" s="7" t="s">
        <v>750</v>
      </c>
      <c r="E123" s="7" t="s">
        <v>57</v>
      </c>
      <c r="F123" s="7" t="n">
        <v>2</v>
      </c>
      <c r="G123" s="7" t="s">
        <v>761</v>
      </c>
      <c r="H123" s="7" t="s">
        <v>60</v>
      </c>
      <c r="I123" s="7" t="s">
        <v>766</v>
      </c>
      <c r="J123" s="7" t="s">
        <v>753</v>
      </c>
      <c r="K123" s="7" t="s">
        <v>767</v>
      </c>
      <c r="L123" s="7" t="s">
        <v>136</v>
      </c>
      <c r="M123" s="7" t="s">
        <v>768</v>
      </c>
      <c r="N123" s="12"/>
      <c r="O123" s="12" t="s">
        <v>40</v>
      </c>
      <c r="P123" s="12"/>
      <c r="Q123" s="12"/>
      <c r="R123" s="13"/>
      <c r="S123" s="12"/>
      <c r="T123" s="12"/>
      <c r="U123" s="12"/>
    </row>
    <row r="124" customFormat="false" ht="22.35" hidden="false" customHeight="false" outlineLevel="0" collapsed="false">
      <c r="A124" s="7" t="s">
        <v>769</v>
      </c>
      <c r="B124" s="7" t="s">
        <v>606</v>
      </c>
      <c r="C124" s="7" t="s">
        <v>770</v>
      </c>
      <c r="D124" s="7" t="s">
        <v>771</v>
      </c>
      <c r="E124" s="7" t="s">
        <v>56</v>
      </c>
      <c r="F124" s="7" t="n">
        <v>1</v>
      </c>
      <c r="G124" s="7" t="s">
        <v>772</v>
      </c>
      <c r="H124" s="7" t="s">
        <v>59</v>
      </c>
      <c r="I124" s="7" t="s">
        <v>773</v>
      </c>
      <c r="J124" s="7" t="s">
        <v>774</v>
      </c>
      <c r="K124" s="7" t="s">
        <v>775</v>
      </c>
      <c r="L124" s="7" t="s">
        <v>136</v>
      </c>
      <c r="M124" s="7" t="s">
        <v>776</v>
      </c>
      <c r="N124" s="12"/>
      <c r="O124" s="12" t="s">
        <v>40</v>
      </c>
      <c r="P124" s="12"/>
      <c r="Q124" s="12"/>
      <c r="R124" s="13"/>
      <c r="S124" s="12"/>
      <c r="T124" s="12"/>
      <c r="U124" s="12"/>
    </row>
    <row r="125" customFormat="false" ht="22.35" hidden="false" customHeight="false" outlineLevel="0" collapsed="false">
      <c r="A125" s="7" t="s">
        <v>777</v>
      </c>
      <c r="B125" s="7" t="s">
        <v>606</v>
      </c>
      <c r="C125" s="7" t="s">
        <v>770</v>
      </c>
      <c r="D125" s="7" t="s">
        <v>771</v>
      </c>
      <c r="E125" s="7" t="s">
        <v>56</v>
      </c>
      <c r="F125" s="7" t="n">
        <v>1</v>
      </c>
      <c r="G125" s="7" t="s">
        <v>772</v>
      </c>
      <c r="H125" s="7" t="s">
        <v>60</v>
      </c>
      <c r="I125" s="7" t="s">
        <v>778</v>
      </c>
      <c r="J125" s="7" t="s">
        <v>774</v>
      </c>
      <c r="K125" s="7" t="s">
        <v>779</v>
      </c>
      <c r="L125" s="7" t="s">
        <v>136</v>
      </c>
      <c r="M125" s="7" t="s">
        <v>780</v>
      </c>
      <c r="N125" s="12"/>
      <c r="O125" s="12" t="s">
        <v>40</v>
      </c>
      <c r="P125" s="12"/>
      <c r="Q125" s="12"/>
      <c r="R125" s="13"/>
      <c r="S125" s="12"/>
      <c r="T125" s="12"/>
      <c r="U125" s="12"/>
    </row>
    <row r="126" customFormat="false" ht="32.8" hidden="false" customHeight="false" outlineLevel="0" collapsed="false">
      <c r="A126" s="7" t="s">
        <v>781</v>
      </c>
      <c r="B126" s="7" t="s">
        <v>606</v>
      </c>
      <c r="C126" s="7" t="s">
        <v>770</v>
      </c>
      <c r="D126" s="7" t="s">
        <v>771</v>
      </c>
      <c r="E126" s="7" t="s">
        <v>56</v>
      </c>
      <c r="F126" s="7" t="n">
        <v>2</v>
      </c>
      <c r="G126" s="7" t="s">
        <v>782</v>
      </c>
      <c r="H126" s="7" t="s">
        <v>59</v>
      </c>
      <c r="I126" s="7" t="s">
        <v>783</v>
      </c>
      <c r="J126" s="7" t="s">
        <v>774</v>
      </c>
      <c r="K126" s="7" t="s">
        <v>784</v>
      </c>
      <c r="L126" s="7" t="s">
        <v>136</v>
      </c>
      <c r="M126" s="7" t="s">
        <v>785</v>
      </c>
      <c r="N126" s="12"/>
      <c r="O126" s="12" t="s">
        <v>40</v>
      </c>
      <c r="P126" s="12"/>
      <c r="Q126" s="12"/>
      <c r="R126" s="13"/>
      <c r="S126" s="12"/>
      <c r="T126" s="12"/>
      <c r="U126" s="12"/>
    </row>
    <row r="127" customFormat="false" ht="22.35" hidden="false" customHeight="false" outlineLevel="0" collapsed="false">
      <c r="A127" s="7" t="s">
        <v>786</v>
      </c>
      <c r="B127" s="7" t="s">
        <v>606</v>
      </c>
      <c r="C127" s="7" t="s">
        <v>770</v>
      </c>
      <c r="D127" s="7" t="s">
        <v>771</v>
      </c>
      <c r="E127" s="7" t="s">
        <v>56</v>
      </c>
      <c r="F127" s="7" t="n">
        <v>2</v>
      </c>
      <c r="G127" s="7" t="s">
        <v>782</v>
      </c>
      <c r="H127" s="7" t="s">
        <v>60</v>
      </c>
      <c r="I127" s="7" t="s">
        <v>787</v>
      </c>
      <c r="J127" s="7" t="s">
        <v>774</v>
      </c>
      <c r="K127" s="7" t="s">
        <v>788</v>
      </c>
      <c r="L127" s="7" t="s">
        <v>136</v>
      </c>
      <c r="M127" s="7" t="s">
        <v>789</v>
      </c>
      <c r="N127" s="12"/>
      <c r="O127" s="12" t="s">
        <v>40</v>
      </c>
      <c r="P127" s="12"/>
      <c r="Q127" s="12"/>
      <c r="R127" s="13"/>
      <c r="S127" s="12"/>
      <c r="T127" s="12"/>
      <c r="U127" s="12"/>
    </row>
    <row r="128" customFormat="false" ht="22.35" hidden="false" customHeight="false" outlineLevel="0" collapsed="false">
      <c r="A128" s="7" t="s">
        <v>790</v>
      </c>
      <c r="B128" s="7" t="s">
        <v>791</v>
      </c>
      <c r="C128" s="7" t="s">
        <v>792</v>
      </c>
      <c r="D128" s="7" t="s">
        <v>793</v>
      </c>
      <c r="E128" s="7" t="s">
        <v>54</v>
      </c>
      <c r="F128" s="7" t="n">
        <v>1</v>
      </c>
      <c r="G128" s="7" t="s">
        <v>794</v>
      </c>
      <c r="H128" s="7" t="s">
        <v>59</v>
      </c>
      <c r="I128" s="7" t="s">
        <v>795</v>
      </c>
      <c r="J128" s="7" t="s">
        <v>796</v>
      </c>
      <c r="K128" s="7" t="s">
        <v>797</v>
      </c>
      <c r="L128" s="7" t="s">
        <v>798</v>
      </c>
      <c r="M128" s="7" t="s">
        <v>799</v>
      </c>
      <c r="N128" s="12"/>
      <c r="O128" s="12" t="s">
        <v>40</v>
      </c>
      <c r="P128" s="12"/>
      <c r="Q128" s="12"/>
      <c r="R128" s="13"/>
      <c r="S128" s="12"/>
      <c r="T128" s="12"/>
      <c r="U128" s="12"/>
    </row>
    <row r="129" customFormat="false" ht="22.35" hidden="false" customHeight="false" outlineLevel="0" collapsed="false">
      <c r="A129" s="7" t="s">
        <v>800</v>
      </c>
      <c r="B129" s="7" t="s">
        <v>791</v>
      </c>
      <c r="C129" s="7" t="s">
        <v>792</v>
      </c>
      <c r="D129" s="7" t="s">
        <v>793</v>
      </c>
      <c r="E129" s="7" t="s">
        <v>54</v>
      </c>
      <c r="F129" s="7" t="n">
        <v>1</v>
      </c>
      <c r="G129" s="7" t="s">
        <v>794</v>
      </c>
      <c r="H129" s="7" t="s">
        <v>60</v>
      </c>
      <c r="I129" s="7" t="s">
        <v>801</v>
      </c>
      <c r="J129" s="7" t="s">
        <v>796</v>
      </c>
      <c r="K129" s="7" t="s">
        <v>802</v>
      </c>
      <c r="L129" s="7" t="s">
        <v>136</v>
      </c>
      <c r="M129" s="7" t="s">
        <v>803</v>
      </c>
      <c r="N129" s="12"/>
      <c r="O129" s="12" t="s">
        <v>40</v>
      </c>
      <c r="P129" s="12"/>
      <c r="Q129" s="12"/>
      <c r="R129" s="13"/>
      <c r="S129" s="12"/>
      <c r="T129" s="12"/>
      <c r="U129" s="12"/>
    </row>
    <row r="130" customFormat="false" ht="22.35" hidden="false" customHeight="false" outlineLevel="0" collapsed="false">
      <c r="A130" s="7" t="s">
        <v>804</v>
      </c>
      <c r="B130" s="7" t="s">
        <v>791</v>
      </c>
      <c r="C130" s="7" t="s">
        <v>792</v>
      </c>
      <c r="D130" s="7" t="s">
        <v>793</v>
      </c>
      <c r="E130" s="7" t="s">
        <v>54</v>
      </c>
      <c r="F130" s="7" t="n">
        <v>2</v>
      </c>
      <c r="G130" s="7" t="s">
        <v>805</v>
      </c>
      <c r="H130" s="7" t="s">
        <v>59</v>
      </c>
      <c r="I130" s="7" t="s">
        <v>806</v>
      </c>
      <c r="J130" s="7" t="s">
        <v>796</v>
      </c>
      <c r="K130" s="7" t="s">
        <v>807</v>
      </c>
      <c r="L130" s="7" t="s">
        <v>808</v>
      </c>
      <c r="M130" s="7" t="s">
        <v>809</v>
      </c>
      <c r="N130" s="12"/>
      <c r="O130" s="12" t="s">
        <v>40</v>
      </c>
      <c r="P130" s="12"/>
      <c r="Q130" s="12"/>
      <c r="R130" s="13"/>
      <c r="S130" s="12"/>
      <c r="T130" s="12"/>
      <c r="U130" s="12"/>
    </row>
    <row r="131" customFormat="false" ht="22.35" hidden="false" customHeight="false" outlineLevel="0" collapsed="false">
      <c r="A131" s="7" t="s">
        <v>810</v>
      </c>
      <c r="B131" s="7" t="s">
        <v>791</v>
      </c>
      <c r="C131" s="7" t="s">
        <v>792</v>
      </c>
      <c r="D131" s="7" t="s">
        <v>793</v>
      </c>
      <c r="E131" s="7" t="s">
        <v>54</v>
      </c>
      <c r="F131" s="7" t="n">
        <v>2</v>
      </c>
      <c r="G131" s="7" t="s">
        <v>805</v>
      </c>
      <c r="H131" s="7" t="s">
        <v>60</v>
      </c>
      <c r="I131" s="7" t="s">
        <v>811</v>
      </c>
      <c r="J131" s="7" t="s">
        <v>796</v>
      </c>
      <c r="K131" s="7" t="s">
        <v>812</v>
      </c>
      <c r="L131" s="7" t="s">
        <v>813</v>
      </c>
      <c r="M131" s="7" t="s">
        <v>814</v>
      </c>
      <c r="N131" s="12"/>
      <c r="O131" s="12" t="s">
        <v>40</v>
      </c>
      <c r="P131" s="12"/>
      <c r="Q131" s="12"/>
      <c r="R131" s="13"/>
      <c r="S131" s="12"/>
      <c r="T131" s="12"/>
      <c r="U131" s="12"/>
    </row>
    <row r="132" customFormat="false" ht="22.35" hidden="false" customHeight="false" outlineLevel="0" collapsed="false">
      <c r="A132" s="7" t="s">
        <v>815</v>
      </c>
      <c r="B132" s="7" t="s">
        <v>791</v>
      </c>
      <c r="C132" s="7" t="s">
        <v>792</v>
      </c>
      <c r="D132" s="7" t="s">
        <v>793</v>
      </c>
      <c r="E132" s="7" t="s">
        <v>54</v>
      </c>
      <c r="F132" s="7" t="n">
        <v>3</v>
      </c>
      <c r="G132" s="7" t="s">
        <v>816</v>
      </c>
      <c r="H132" s="7" t="s">
        <v>59</v>
      </c>
      <c r="I132" s="7" t="s">
        <v>817</v>
      </c>
      <c r="J132" s="7" t="s">
        <v>796</v>
      </c>
      <c r="K132" s="7" t="s">
        <v>818</v>
      </c>
      <c r="L132" s="7" t="s">
        <v>136</v>
      </c>
      <c r="M132" s="7" t="s">
        <v>819</v>
      </c>
      <c r="N132" s="12"/>
      <c r="O132" s="12" t="s">
        <v>40</v>
      </c>
      <c r="P132" s="12"/>
      <c r="Q132" s="12"/>
      <c r="R132" s="13"/>
      <c r="S132" s="12"/>
      <c r="T132" s="12"/>
      <c r="U132" s="12"/>
    </row>
    <row r="133" customFormat="false" ht="22.35" hidden="false" customHeight="false" outlineLevel="0" collapsed="false">
      <c r="A133" s="7" t="s">
        <v>820</v>
      </c>
      <c r="B133" s="7" t="s">
        <v>791</v>
      </c>
      <c r="C133" s="7" t="s">
        <v>792</v>
      </c>
      <c r="D133" s="7" t="s">
        <v>793</v>
      </c>
      <c r="E133" s="7" t="s">
        <v>54</v>
      </c>
      <c r="F133" s="7" t="n">
        <v>3</v>
      </c>
      <c r="G133" s="7" t="s">
        <v>816</v>
      </c>
      <c r="H133" s="7" t="s">
        <v>60</v>
      </c>
      <c r="I133" s="7" t="s">
        <v>821</v>
      </c>
      <c r="J133" s="7" t="s">
        <v>796</v>
      </c>
      <c r="K133" s="7" t="s">
        <v>822</v>
      </c>
      <c r="L133" s="7" t="s">
        <v>136</v>
      </c>
      <c r="M133" s="7" t="s">
        <v>823</v>
      </c>
      <c r="N133" s="12"/>
      <c r="O133" s="12" t="s">
        <v>40</v>
      </c>
      <c r="P133" s="12"/>
      <c r="Q133" s="12"/>
      <c r="R133" s="13"/>
      <c r="S133" s="12"/>
      <c r="T133" s="12"/>
      <c r="U133" s="12"/>
    </row>
    <row r="134" customFormat="false" ht="22.35" hidden="false" customHeight="false" outlineLevel="0" collapsed="false">
      <c r="A134" s="7" t="s">
        <v>824</v>
      </c>
      <c r="B134" s="7" t="s">
        <v>791</v>
      </c>
      <c r="C134" s="7" t="s">
        <v>825</v>
      </c>
      <c r="D134" s="7" t="s">
        <v>826</v>
      </c>
      <c r="E134" s="7" t="s">
        <v>55</v>
      </c>
      <c r="F134" s="7" t="n">
        <v>1</v>
      </c>
      <c r="G134" s="7" t="s">
        <v>827</v>
      </c>
      <c r="H134" s="7" t="s">
        <v>59</v>
      </c>
      <c r="I134" s="7" t="s">
        <v>828</v>
      </c>
      <c r="J134" s="7" t="s">
        <v>829</v>
      </c>
      <c r="K134" s="7" t="s">
        <v>830</v>
      </c>
      <c r="L134" s="7" t="s">
        <v>831</v>
      </c>
      <c r="M134" s="7" t="s">
        <v>832</v>
      </c>
      <c r="N134" s="12"/>
      <c r="O134" s="12" t="s">
        <v>40</v>
      </c>
      <c r="P134" s="12"/>
      <c r="Q134" s="12"/>
      <c r="R134" s="13"/>
      <c r="S134" s="12"/>
      <c r="T134" s="12"/>
      <c r="U134" s="12"/>
    </row>
    <row r="135" customFormat="false" ht="22.35" hidden="false" customHeight="false" outlineLevel="0" collapsed="false">
      <c r="A135" s="7" t="s">
        <v>833</v>
      </c>
      <c r="B135" s="7" t="s">
        <v>791</v>
      </c>
      <c r="C135" s="7" t="s">
        <v>825</v>
      </c>
      <c r="D135" s="7" t="s">
        <v>826</v>
      </c>
      <c r="E135" s="7" t="s">
        <v>55</v>
      </c>
      <c r="F135" s="7" t="n">
        <v>1</v>
      </c>
      <c r="G135" s="7" t="s">
        <v>827</v>
      </c>
      <c r="H135" s="7" t="s">
        <v>60</v>
      </c>
      <c r="I135" s="7" t="s">
        <v>834</v>
      </c>
      <c r="J135" s="7" t="s">
        <v>829</v>
      </c>
      <c r="K135" s="7" t="s">
        <v>835</v>
      </c>
      <c r="L135" s="7" t="s">
        <v>136</v>
      </c>
      <c r="M135" s="7" t="s">
        <v>836</v>
      </c>
      <c r="N135" s="12"/>
      <c r="O135" s="12" t="s">
        <v>40</v>
      </c>
      <c r="P135" s="12"/>
      <c r="Q135" s="12"/>
      <c r="R135" s="13"/>
      <c r="S135" s="12"/>
      <c r="T135" s="12"/>
      <c r="U135" s="12"/>
    </row>
    <row r="136" customFormat="false" ht="15" hidden="false" customHeight="false" outlineLevel="0" collapsed="false">
      <c r="A136" s="7" t="s">
        <v>837</v>
      </c>
      <c r="B136" s="7" t="s">
        <v>791</v>
      </c>
      <c r="C136" s="7" t="s">
        <v>825</v>
      </c>
      <c r="D136" s="7" t="s">
        <v>826</v>
      </c>
      <c r="E136" s="7" t="s">
        <v>55</v>
      </c>
      <c r="F136" s="7" t="n">
        <v>2</v>
      </c>
      <c r="G136" s="7" t="s">
        <v>838</v>
      </c>
      <c r="H136" s="7" t="s">
        <v>59</v>
      </c>
      <c r="I136" s="7" t="s">
        <v>839</v>
      </c>
      <c r="J136" s="7" t="s">
        <v>829</v>
      </c>
      <c r="K136" s="7" t="s">
        <v>840</v>
      </c>
      <c r="L136" s="7" t="s">
        <v>841</v>
      </c>
      <c r="M136" s="7" t="s">
        <v>842</v>
      </c>
      <c r="N136" s="12"/>
      <c r="O136" s="12" t="s">
        <v>40</v>
      </c>
      <c r="P136" s="12"/>
      <c r="Q136" s="12"/>
      <c r="R136" s="13"/>
      <c r="S136" s="12"/>
      <c r="T136" s="12"/>
      <c r="U136" s="12"/>
    </row>
    <row r="137" customFormat="false" ht="15" hidden="false" customHeight="false" outlineLevel="0" collapsed="false">
      <c r="A137" s="7" t="s">
        <v>843</v>
      </c>
      <c r="B137" s="7" t="s">
        <v>791</v>
      </c>
      <c r="C137" s="7" t="s">
        <v>825</v>
      </c>
      <c r="D137" s="7" t="s">
        <v>826</v>
      </c>
      <c r="E137" s="7" t="s">
        <v>55</v>
      </c>
      <c r="F137" s="7" t="n">
        <v>2</v>
      </c>
      <c r="G137" s="7" t="s">
        <v>838</v>
      </c>
      <c r="H137" s="7" t="s">
        <v>60</v>
      </c>
      <c r="I137" s="7" t="s">
        <v>844</v>
      </c>
      <c r="J137" s="7" t="s">
        <v>829</v>
      </c>
      <c r="K137" s="7" t="s">
        <v>845</v>
      </c>
      <c r="L137" s="7" t="s">
        <v>136</v>
      </c>
      <c r="M137" s="7" t="s">
        <v>846</v>
      </c>
      <c r="N137" s="12"/>
      <c r="O137" s="12" t="s">
        <v>40</v>
      </c>
      <c r="P137" s="12"/>
      <c r="Q137" s="12"/>
      <c r="R137" s="13"/>
      <c r="S137" s="12"/>
      <c r="T137" s="12"/>
      <c r="U137" s="12"/>
    </row>
    <row r="138" customFormat="false" ht="22.35" hidden="false" customHeight="false" outlineLevel="0" collapsed="false">
      <c r="A138" s="7" t="s">
        <v>847</v>
      </c>
      <c r="B138" s="7" t="s">
        <v>791</v>
      </c>
      <c r="C138" s="7" t="s">
        <v>825</v>
      </c>
      <c r="D138" s="7" t="s">
        <v>826</v>
      </c>
      <c r="E138" s="7" t="s">
        <v>55</v>
      </c>
      <c r="F138" s="7" t="n">
        <v>3</v>
      </c>
      <c r="G138" s="7" t="s">
        <v>848</v>
      </c>
      <c r="H138" s="7" t="s">
        <v>59</v>
      </c>
      <c r="I138" s="7" t="s">
        <v>849</v>
      </c>
      <c r="J138" s="7" t="s">
        <v>829</v>
      </c>
      <c r="K138" s="7" t="s">
        <v>850</v>
      </c>
      <c r="L138" s="7" t="s">
        <v>136</v>
      </c>
      <c r="M138" s="7" t="s">
        <v>851</v>
      </c>
      <c r="N138" s="12"/>
      <c r="O138" s="12" t="s">
        <v>40</v>
      </c>
      <c r="P138" s="12"/>
      <c r="Q138" s="12"/>
      <c r="R138" s="13"/>
      <c r="S138" s="12"/>
      <c r="T138" s="12"/>
      <c r="U138" s="12"/>
    </row>
    <row r="139" customFormat="false" ht="22.35" hidden="false" customHeight="false" outlineLevel="0" collapsed="false">
      <c r="A139" s="7" t="s">
        <v>852</v>
      </c>
      <c r="B139" s="7" t="s">
        <v>791</v>
      </c>
      <c r="C139" s="7" t="s">
        <v>825</v>
      </c>
      <c r="D139" s="7" t="s">
        <v>826</v>
      </c>
      <c r="E139" s="7" t="s">
        <v>55</v>
      </c>
      <c r="F139" s="7" t="n">
        <v>3</v>
      </c>
      <c r="G139" s="7" t="s">
        <v>848</v>
      </c>
      <c r="H139" s="7" t="s">
        <v>60</v>
      </c>
      <c r="I139" s="7" t="s">
        <v>853</v>
      </c>
      <c r="J139" s="7" t="s">
        <v>829</v>
      </c>
      <c r="K139" s="7" t="s">
        <v>854</v>
      </c>
      <c r="L139" s="7" t="s">
        <v>136</v>
      </c>
      <c r="M139" s="7" t="s">
        <v>855</v>
      </c>
      <c r="N139" s="12"/>
      <c r="O139" s="12" t="s">
        <v>40</v>
      </c>
      <c r="P139" s="12"/>
      <c r="Q139" s="12"/>
      <c r="R139" s="13"/>
      <c r="S139" s="12"/>
      <c r="T139" s="12"/>
      <c r="U139" s="12"/>
    </row>
    <row r="140" customFormat="false" ht="22.35" hidden="false" customHeight="false" outlineLevel="0" collapsed="false">
      <c r="A140" s="7" t="s">
        <v>856</v>
      </c>
      <c r="B140" s="7" t="s">
        <v>791</v>
      </c>
      <c r="C140" s="7" t="s">
        <v>857</v>
      </c>
      <c r="D140" s="7" t="s">
        <v>858</v>
      </c>
      <c r="E140" s="7" t="s">
        <v>55</v>
      </c>
      <c r="F140" s="7" t="n">
        <v>1</v>
      </c>
      <c r="G140" s="7" t="s">
        <v>859</v>
      </c>
      <c r="H140" s="7" t="s">
        <v>59</v>
      </c>
      <c r="I140" s="7" t="s">
        <v>860</v>
      </c>
      <c r="J140" s="7" t="s">
        <v>861</v>
      </c>
      <c r="K140" s="7" t="s">
        <v>862</v>
      </c>
      <c r="L140" s="7" t="s">
        <v>136</v>
      </c>
      <c r="M140" s="7" t="s">
        <v>863</v>
      </c>
      <c r="N140" s="12"/>
      <c r="O140" s="12" t="s">
        <v>40</v>
      </c>
      <c r="P140" s="12"/>
      <c r="Q140" s="12"/>
      <c r="R140" s="13"/>
      <c r="S140" s="12"/>
      <c r="T140" s="12"/>
      <c r="U140" s="12"/>
    </row>
    <row r="141" customFormat="false" ht="32.8" hidden="false" customHeight="false" outlineLevel="0" collapsed="false">
      <c r="A141" s="7" t="s">
        <v>864</v>
      </c>
      <c r="B141" s="7" t="s">
        <v>791</v>
      </c>
      <c r="C141" s="7" t="s">
        <v>857</v>
      </c>
      <c r="D141" s="7" t="s">
        <v>858</v>
      </c>
      <c r="E141" s="7" t="s">
        <v>55</v>
      </c>
      <c r="F141" s="7" t="n">
        <v>1</v>
      </c>
      <c r="G141" s="7" t="s">
        <v>859</v>
      </c>
      <c r="H141" s="7" t="s">
        <v>60</v>
      </c>
      <c r="I141" s="7" t="s">
        <v>865</v>
      </c>
      <c r="J141" s="7" t="s">
        <v>861</v>
      </c>
      <c r="K141" s="7" t="s">
        <v>866</v>
      </c>
      <c r="L141" s="7" t="s">
        <v>136</v>
      </c>
      <c r="M141" s="7" t="s">
        <v>867</v>
      </c>
      <c r="N141" s="12"/>
      <c r="O141" s="12" t="s">
        <v>40</v>
      </c>
      <c r="P141" s="12"/>
      <c r="Q141" s="12"/>
      <c r="R141" s="13"/>
      <c r="S141" s="12"/>
      <c r="T141" s="12"/>
      <c r="U141" s="12"/>
    </row>
    <row r="142" customFormat="false" ht="22.35" hidden="false" customHeight="false" outlineLevel="0" collapsed="false">
      <c r="A142" s="7" t="s">
        <v>868</v>
      </c>
      <c r="B142" s="7" t="s">
        <v>791</v>
      </c>
      <c r="C142" s="7" t="s">
        <v>857</v>
      </c>
      <c r="D142" s="7" t="s">
        <v>858</v>
      </c>
      <c r="E142" s="7" t="s">
        <v>55</v>
      </c>
      <c r="F142" s="7" t="n">
        <v>2</v>
      </c>
      <c r="G142" s="7" t="s">
        <v>869</v>
      </c>
      <c r="H142" s="7" t="s">
        <v>59</v>
      </c>
      <c r="I142" s="7" t="s">
        <v>870</v>
      </c>
      <c r="J142" s="7" t="s">
        <v>861</v>
      </c>
      <c r="K142" s="7" t="s">
        <v>871</v>
      </c>
      <c r="L142" s="7" t="s">
        <v>136</v>
      </c>
      <c r="M142" s="7" t="s">
        <v>872</v>
      </c>
      <c r="N142" s="12"/>
      <c r="O142" s="12" t="s">
        <v>40</v>
      </c>
      <c r="P142" s="12"/>
      <c r="Q142" s="12"/>
      <c r="R142" s="13"/>
      <c r="S142" s="12"/>
      <c r="T142" s="12"/>
      <c r="U142" s="12"/>
    </row>
    <row r="143" customFormat="false" ht="22.35" hidden="false" customHeight="false" outlineLevel="0" collapsed="false">
      <c r="A143" s="7" t="s">
        <v>873</v>
      </c>
      <c r="B143" s="7" t="s">
        <v>791</v>
      </c>
      <c r="C143" s="7" t="s">
        <v>857</v>
      </c>
      <c r="D143" s="7" t="s">
        <v>858</v>
      </c>
      <c r="E143" s="7" t="s">
        <v>55</v>
      </c>
      <c r="F143" s="7" t="n">
        <v>2</v>
      </c>
      <c r="G143" s="7" t="s">
        <v>869</v>
      </c>
      <c r="H143" s="7" t="s">
        <v>60</v>
      </c>
      <c r="I143" s="7" t="s">
        <v>874</v>
      </c>
      <c r="J143" s="7" t="s">
        <v>861</v>
      </c>
      <c r="K143" s="7" t="s">
        <v>875</v>
      </c>
      <c r="L143" s="7" t="s">
        <v>136</v>
      </c>
      <c r="M143" s="7" t="s">
        <v>876</v>
      </c>
      <c r="N143" s="12"/>
      <c r="O143" s="12" t="s">
        <v>40</v>
      </c>
      <c r="P143" s="12"/>
      <c r="Q143" s="12"/>
      <c r="R143" s="13"/>
      <c r="S143" s="12"/>
      <c r="T143" s="12"/>
      <c r="U143" s="12"/>
    </row>
    <row r="144" customFormat="false" ht="32.8" hidden="false" customHeight="false" outlineLevel="0" collapsed="false">
      <c r="A144" s="7" t="s">
        <v>877</v>
      </c>
      <c r="B144" s="7" t="s">
        <v>791</v>
      </c>
      <c r="C144" s="7" t="s">
        <v>878</v>
      </c>
      <c r="D144" s="7" t="s">
        <v>879</v>
      </c>
      <c r="E144" s="7" t="s">
        <v>56</v>
      </c>
      <c r="F144" s="7" t="n">
        <v>1</v>
      </c>
      <c r="G144" s="7" t="s">
        <v>880</v>
      </c>
      <c r="H144" s="7" t="s">
        <v>59</v>
      </c>
      <c r="I144" s="7" t="s">
        <v>881</v>
      </c>
      <c r="J144" s="7" t="s">
        <v>882</v>
      </c>
      <c r="K144" s="7" t="s">
        <v>883</v>
      </c>
      <c r="L144" s="7" t="s">
        <v>136</v>
      </c>
      <c r="M144" s="7" t="s">
        <v>884</v>
      </c>
      <c r="N144" s="12"/>
      <c r="O144" s="12" t="s">
        <v>40</v>
      </c>
      <c r="P144" s="12"/>
      <c r="Q144" s="12"/>
      <c r="R144" s="13"/>
      <c r="S144" s="12"/>
      <c r="T144" s="12"/>
      <c r="U144" s="12"/>
    </row>
    <row r="145" customFormat="false" ht="22.35" hidden="false" customHeight="false" outlineLevel="0" collapsed="false">
      <c r="A145" s="7" t="s">
        <v>885</v>
      </c>
      <c r="B145" s="7" t="s">
        <v>791</v>
      </c>
      <c r="C145" s="7" t="s">
        <v>878</v>
      </c>
      <c r="D145" s="7" t="s">
        <v>879</v>
      </c>
      <c r="E145" s="7" t="s">
        <v>56</v>
      </c>
      <c r="F145" s="7" t="n">
        <v>1</v>
      </c>
      <c r="G145" s="7" t="s">
        <v>880</v>
      </c>
      <c r="H145" s="7" t="s">
        <v>60</v>
      </c>
      <c r="I145" s="7" t="s">
        <v>886</v>
      </c>
      <c r="J145" s="7" t="s">
        <v>882</v>
      </c>
      <c r="K145" s="7" t="s">
        <v>887</v>
      </c>
      <c r="L145" s="7" t="s">
        <v>136</v>
      </c>
      <c r="M145" s="7" t="s">
        <v>888</v>
      </c>
      <c r="N145" s="12"/>
      <c r="O145" s="12" t="s">
        <v>40</v>
      </c>
      <c r="P145" s="12"/>
      <c r="Q145" s="12"/>
      <c r="R145" s="13"/>
      <c r="S145" s="12"/>
      <c r="T145" s="12"/>
      <c r="U145" s="12"/>
    </row>
    <row r="146" customFormat="false" ht="32.8" hidden="false" customHeight="false" outlineLevel="0" collapsed="false">
      <c r="A146" s="7" t="s">
        <v>889</v>
      </c>
      <c r="B146" s="7" t="s">
        <v>791</v>
      </c>
      <c r="C146" s="7" t="s">
        <v>878</v>
      </c>
      <c r="D146" s="7" t="s">
        <v>879</v>
      </c>
      <c r="E146" s="7" t="s">
        <v>56</v>
      </c>
      <c r="F146" s="7" t="n">
        <v>2</v>
      </c>
      <c r="G146" s="7" t="s">
        <v>890</v>
      </c>
      <c r="H146" s="7" t="s">
        <v>59</v>
      </c>
      <c r="I146" s="7" t="s">
        <v>891</v>
      </c>
      <c r="J146" s="7" t="s">
        <v>882</v>
      </c>
      <c r="K146" s="7" t="s">
        <v>892</v>
      </c>
      <c r="L146" s="7" t="s">
        <v>136</v>
      </c>
      <c r="M146" s="7" t="s">
        <v>893</v>
      </c>
      <c r="N146" s="12"/>
      <c r="O146" s="12" t="s">
        <v>40</v>
      </c>
      <c r="P146" s="12"/>
      <c r="Q146" s="12"/>
      <c r="R146" s="13"/>
      <c r="S146" s="12"/>
      <c r="T146" s="12"/>
      <c r="U146" s="12"/>
    </row>
    <row r="147" customFormat="false" ht="22.35" hidden="false" customHeight="false" outlineLevel="0" collapsed="false">
      <c r="A147" s="7" t="s">
        <v>894</v>
      </c>
      <c r="B147" s="7" t="s">
        <v>791</v>
      </c>
      <c r="C147" s="7" t="s">
        <v>878</v>
      </c>
      <c r="D147" s="7" t="s">
        <v>879</v>
      </c>
      <c r="E147" s="7" t="s">
        <v>56</v>
      </c>
      <c r="F147" s="7" t="n">
        <v>2</v>
      </c>
      <c r="G147" s="7" t="s">
        <v>890</v>
      </c>
      <c r="H147" s="7" t="s">
        <v>60</v>
      </c>
      <c r="I147" s="7" t="s">
        <v>895</v>
      </c>
      <c r="J147" s="7" t="s">
        <v>882</v>
      </c>
      <c r="K147" s="7" t="s">
        <v>896</v>
      </c>
      <c r="L147" s="7" t="s">
        <v>136</v>
      </c>
      <c r="M147" s="7" t="s">
        <v>897</v>
      </c>
      <c r="N147" s="12"/>
      <c r="O147" s="12" t="s">
        <v>40</v>
      </c>
      <c r="P147" s="12"/>
      <c r="Q147" s="12"/>
      <c r="R147" s="13"/>
      <c r="S147" s="12"/>
      <c r="T147" s="12"/>
      <c r="U147" s="12"/>
    </row>
    <row r="148" customFormat="false" ht="64.15" hidden="false" customHeight="false" outlineLevel="0" collapsed="false">
      <c r="A148" s="7" t="s">
        <v>898</v>
      </c>
      <c r="B148" s="7" t="s">
        <v>791</v>
      </c>
      <c r="C148" s="7" t="s">
        <v>899</v>
      </c>
      <c r="D148" s="7" t="s">
        <v>900</v>
      </c>
      <c r="E148" s="7" t="s">
        <v>54</v>
      </c>
      <c r="F148" s="7" t="n">
        <v>1</v>
      </c>
      <c r="G148" s="7" t="s">
        <v>901</v>
      </c>
      <c r="H148" s="7" t="s">
        <v>59</v>
      </c>
      <c r="I148" s="7" t="s">
        <v>902</v>
      </c>
      <c r="J148" s="7" t="s">
        <v>903</v>
      </c>
      <c r="K148" s="7" t="s">
        <v>904</v>
      </c>
      <c r="L148" s="7" t="s">
        <v>905</v>
      </c>
      <c r="M148" s="7" t="s">
        <v>906</v>
      </c>
      <c r="N148" s="12"/>
      <c r="O148" s="12" t="s">
        <v>40</v>
      </c>
      <c r="P148" s="12"/>
      <c r="Q148" s="12"/>
      <c r="R148" s="13"/>
      <c r="S148" s="12"/>
      <c r="T148" s="12"/>
      <c r="U148" s="12"/>
    </row>
    <row r="149" customFormat="false" ht="32.8" hidden="false" customHeight="false" outlineLevel="0" collapsed="false">
      <c r="A149" s="7" t="s">
        <v>907</v>
      </c>
      <c r="B149" s="7" t="s">
        <v>791</v>
      </c>
      <c r="C149" s="7" t="s">
        <v>899</v>
      </c>
      <c r="D149" s="7" t="s">
        <v>900</v>
      </c>
      <c r="E149" s="7" t="s">
        <v>54</v>
      </c>
      <c r="F149" s="7" t="n">
        <v>1</v>
      </c>
      <c r="G149" s="7" t="s">
        <v>901</v>
      </c>
      <c r="H149" s="7" t="s">
        <v>60</v>
      </c>
      <c r="I149" s="7" t="s">
        <v>908</v>
      </c>
      <c r="J149" s="7" t="s">
        <v>903</v>
      </c>
      <c r="K149" s="7" t="s">
        <v>909</v>
      </c>
      <c r="L149" s="7" t="s">
        <v>910</v>
      </c>
      <c r="M149" s="7" t="s">
        <v>911</v>
      </c>
      <c r="N149" s="12"/>
      <c r="O149" s="12" t="s">
        <v>40</v>
      </c>
      <c r="P149" s="12"/>
      <c r="Q149" s="12"/>
      <c r="R149" s="13"/>
      <c r="S149" s="12"/>
      <c r="T149" s="12"/>
      <c r="U149" s="12"/>
    </row>
    <row r="150" customFormat="false" ht="22.35" hidden="false" customHeight="false" outlineLevel="0" collapsed="false">
      <c r="A150" s="7" t="s">
        <v>912</v>
      </c>
      <c r="B150" s="7" t="s">
        <v>791</v>
      </c>
      <c r="C150" s="7" t="s">
        <v>899</v>
      </c>
      <c r="D150" s="7" t="s">
        <v>900</v>
      </c>
      <c r="E150" s="7" t="s">
        <v>54</v>
      </c>
      <c r="F150" s="7" t="n">
        <v>2</v>
      </c>
      <c r="G150" s="7" t="s">
        <v>913</v>
      </c>
      <c r="H150" s="7" t="s">
        <v>59</v>
      </c>
      <c r="I150" s="7" t="s">
        <v>914</v>
      </c>
      <c r="J150" s="7" t="s">
        <v>903</v>
      </c>
      <c r="K150" s="7" t="s">
        <v>915</v>
      </c>
      <c r="L150" s="7" t="s">
        <v>136</v>
      </c>
      <c r="M150" s="7" t="s">
        <v>916</v>
      </c>
      <c r="N150" s="12"/>
      <c r="O150" s="12" t="s">
        <v>40</v>
      </c>
      <c r="P150" s="12"/>
      <c r="Q150" s="12"/>
      <c r="R150" s="13"/>
      <c r="S150" s="12"/>
      <c r="T150" s="12"/>
      <c r="U150" s="12"/>
    </row>
    <row r="151" customFormat="false" ht="22.35" hidden="false" customHeight="false" outlineLevel="0" collapsed="false">
      <c r="A151" s="7" t="s">
        <v>917</v>
      </c>
      <c r="B151" s="7" t="s">
        <v>791</v>
      </c>
      <c r="C151" s="7" t="s">
        <v>899</v>
      </c>
      <c r="D151" s="7" t="s">
        <v>900</v>
      </c>
      <c r="E151" s="7" t="s">
        <v>54</v>
      </c>
      <c r="F151" s="7" t="n">
        <v>2</v>
      </c>
      <c r="G151" s="7" t="s">
        <v>913</v>
      </c>
      <c r="H151" s="7" t="s">
        <v>60</v>
      </c>
      <c r="I151" s="7" t="s">
        <v>918</v>
      </c>
      <c r="J151" s="7" t="s">
        <v>903</v>
      </c>
      <c r="K151" s="7" t="s">
        <v>919</v>
      </c>
      <c r="L151" s="7" t="s">
        <v>136</v>
      </c>
      <c r="M151" s="7" t="s">
        <v>920</v>
      </c>
      <c r="N151" s="12"/>
      <c r="O151" s="12" t="s">
        <v>40</v>
      </c>
      <c r="P151" s="12"/>
      <c r="Q151" s="12"/>
      <c r="R151" s="13"/>
      <c r="S151" s="12"/>
      <c r="T151" s="12"/>
      <c r="U151" s="12"/>
    </row>
    <row r="152" customFormat="false" ht="43.25" hidden="false" customHeight="false" outlineLevel="0" collapsed="false">
      <c r="A152" s="7" t="s">
        <v>921</v>
      </c>
      <c r="B152" s="7" t="s">
        <v>791</v>
      </c>
      <c r="C152" s="7" t="s">
        <v>922</v>
      </c>
      <c r="D152" s="7" t="s">
        <v>923</v>
      </c>
      <c r="E152" s="7" t="s">
        <v>55</v>
      </c>
      <c r="F152" s="7" t="n">
        <v>1</v>
      </c>
      <c r="G152" s="7" t="s">
        <v>924</v>
      </c>
      <c r="H152" s="7" t="s">
        <v>59</v>
      </c>
      <c r="I152" s="7" t="s">
        <v>925</v>
      </c>
      <c r="J152" s="7" t="s">
        <v>926</v>
      </c>
      <c r="K152" s="7" t="s">
        <v>927</v>
      </c>
      <c r="L152" s="7" t="s">
        <v>136</v>
      </c>
      <c r="M152" s="7" t="s">
        <v>928</v>
      </c>
      <c r="N152" s="12"/>
      <c r="O152" s="12" t="s">
        <v>40</v>
      </c>
      <c r="P152" s="12"/>
      <c r="Q152" s="12"/>
      <c r="R152" s="13"/>
      <c r="S152" s="12"/>
      <c r="T152" s="12"/>
      <c r="U152" s="12"/>
    </row>
    <row r="153" customFormat="false" ht="43.25" hidden="false" customHeight="false" outlineLevel="0" collapsed="false">
      <c r="A153" s="7" t="s">
        <v>929</v>
      </c>
      <c r="B153" s="7" t="s">
        <v>791</v>
      </c>
      <c r="C153" s="7" t="s">
        <v>922</v>
      </c>
      <c r="D153" s="7" t="s">
        <v>923</v>
      </c>
      <c r="E153" s="7" t="s">
        <v>55</v>
      </c>
      <c r="F153" s="7" t="n">
        <v>1</v>
      </c>
      <c r="G153" s="7" t="s">
        <v>924</v>
      </c>
      <c r="H153" s="7" t="s">
        <v>60</v>
      </c>
      <c r="I153" s="7" t="s">
        <v>930</v>
      </c>
      <c r="J153" s="7" t="s">
        <v>926</v>
      </c>
      <c r="K153" s="7" t="s">
        <v>931</v>
      </c>
      <c r="L153" s="7" t="s">
        <v>136</v>
      </c>
      <c r="M153" s="7" t="s">
        <v>932</v>
      </c>
      <c r="N153" s="12"/>
      <c r="O153" s="12" t="s">
        <v>40</v>
      </c>
      <c r="P153" s="12"/>
      <c r="Q153" s="12"/>
      <c r="R153" s="13"/>
      <c r="S153" s="12"/>
      <c r="T153" s="12"/>
      <c r="U153" s="12"/>
    </row>
    <row r="154" customFormat="false" ht="43.25" hidden="false" customHeight="false" outlineLevel="0" collapsed="false">
      <c r="A154" s="7" t="s">
        <v>933</v>
      </c>
      <c r="B154" s="7" t="s">
        <v>791</v>
      </c>
      <c r="C154" s="7" t="s">
        <v>922</v>
      </c>
      <c r="D154" s="7" t="s">
        <v>923</v>
      </c>
      <c r="E154" s="7" t="s">
        <v>55</v>
      </c>
      <c r="F154" s="7" t="n">
        <v>2</v>
      </c>
      <c r="G154" s="7" t="s">
        <v>934</v>
      </c>
      <c r="H154" s="7" t="s">
        <v>59</v>
      </c>
      <c r="I154" s="7" t="s">
        <v>935</v>
      </c>
      <c r="J154" s="7" t="s">
        <v>926</v>
      </c>
      <c r="K154" s="7" t="s">
        <v>936</v>
      </c>
      <c r="L154" s="7" t="s">
        <v>136</v>
      </c>
      <c r="M154" s="7" t="s">
        <v>937</v>
      </c>
      <c r="N154" s="12"/>
      <c r="O154" s="12" t="s">
        <v>40</v>
      </c>
      <c r="P154" s="12"/>
      <c r="Q154" s="12"/>
      <c r="R154" s="13"/>
      <c r="S154" s="12"/>
      <c r="T154" s="12"/>
      <c r="U154" s="12"/>
    </row>
    <row r="155" customFormat="false" ht="43.25" hidden="false" customHeight="false" outlineLevel="0" collapsed="false">
      <c r="A155" s="7" t="s">
        <v>938</v>
      </c>
      <c r="B155" s="7" t="s">
        <v>791</v>
      </c>
      <c r="C155" s="7" t="s">
        <v>922</v>
      </c>
      <c r="D155" s="7" t="s">
        <v>923</v>
      </c>
      <c r="E155" s="7" t="s">
        <v>55</v>
      </c>
      <c r="F155" s="7" t="n">
        <v>2</v>
      </c>
      <c r="G155" s="7" t="s">
        <v>934</v>
      </c>
      <c r="H155" s="7" t="s">
        <v>60</v>
      </c>
      <c r="I155" s="7" t="s">
        <v>939</v>
      </c>
      <c r="J155" s="7" t="s">
        <v>926</v>
      </c>
      <c r="K155" s="7" t="s">
        <v>940</v>
      </c>
      <c r="L155" s="7" t="s">
        <v>136</v>
      </c>
      <c r="M155" s="7" t="s">
        <v>941</v>
      </c>
      <c r="N155" s="12"/>
      <c r="O155" s="12" t="s">
        <v>40</v>
      </c>
      <c r="P155" s="12"/>
      <c r="Q155" s="12"/>
      <c r="R155" s="13"/>
      <c r="S155" s="12"/>
      <c r="T155" s="12"/>
      <c r="U155" s="12"/>
    </row>
    <row r="156" customFormat="false" ht="43.25" hidden="false" customHeight="false" outlineLevel="0" collapsed="false">
      <c r="A156" s="7" t="s">
        <v>942</v>
      </c>
      <c r="B156" s="7" t="s">
        <v>791</v>
      </c>
      <c r="C156" s="7" t="s">
        <v>922</v>
      </c>
      <c r="D156" s="7" t="s">
        <v>923</v>
      </c>
      <c r="E156" s="7" t="s">
        <v>55</v>
      </c>
      <c r="F156" s="7" t="n">
        <v>3</v>
      </c>
      <c r="G156" s="7" t="s">
        <v>943</v>
      </c>
      <c r="H156" s="7" t="s">
        <v>59</v>
      </c>
      <c r="I156" s="7" t="s">
        <v>944</v>
      </c>
      <c r="J156" s="7" t="s">
        <v>926</v>
      </c>
      <c r="K156" s="7" t="s">
        <v>945</v>
      </c>
      <c r="L156" s="7" t="s">
        <v>136</v>
      </c>
      <c r="M156" s="7" t="s">
        <v>946</v>
      </c>
      <c r="N156" s="12"/>
      <c r="O156" s="12" t="s">
        <v>40</v>
      </c>
      <c r="P156" s="12"/>
      <c r="Q156" s="12"/>
      <c r="R156" s="13"/>
      <c r="S156" s="12"/>
      <c r="T156" s="12"/>
      <c r="U156" s="12"/>
    </row>
    <row r="157" customFormat="false" ht="43.25" hidden="false" customHeight="false" outlineLevel="0" collapsed="false">
      <c r="A157" s="7" t="s">
        <v>947</v>
      </c>
      <c r="B157" s="7" t="s">
        <v>791</v>
      </c>
      <c r="C157" s="7" t="s">
        <v>922</v>
      </c>
      <c r="D157" s="7" t="s">
        <v>923</v>
      </c>
      <c r="E157" s="7" t="s">
        <v>55</v>
      </c>
      <c r="F157" s="7" t="n">
        <v>3</v>
      </c>
      <c r="G157" s="7" t="s">
        <v>943</v>
      </c>
      <c r="H157" s="7" t="s">
        <v>60</v>
      </c>
      <c r="I157" s="7" t="s">
        <v>948</v>
      </c>
      <c r="J157" s="7" t="s">
        <v>926</v>
      </c>
      <c r="K157" s="7" t="s">
        <v>949</v>
      </c>
      <c r="L157" s="7" t="s">
        <v>136</v>
      </c>
      <c r="M157" s="7" t="s">
        <v>950</v>
      </c>
      <c r="N157" s="12"/>
      <c r="O157" s="12" t="s">
        <v>40</v>
      </c>
      <c r="P157" s="12"/>
      <c r="Q157" s="12"/>
      <c r="R157" s="13"/>
      <c r="S157" s="12"/>
      <c r="T157" s="12"/>
      <c r="U157" s="12"/>
    </row>
    <row r="158" customFormat="false" ht="22.35" hidden="false" customHeight="false" outlineLevel="0" collapsed="false">
      <c r="A158" s="7" t="s">
        <v>951</v>
      </c>
      <c r="B158" s="7" t="s">
        <v>791</v>
      </c>
      <c r="C158" s="7" t="s">
        <v>952</v>
      </c>
      <c r="D158" s="7" t="s">
        <v>953</v>
      </c>
      <c r="E158" s="7" t="s">
        <v>57</v>
      </c>
      <c r="F158" s="7" t="n">
        <v>1</v>
      </c>
      <c r="G158" s="7" t="s">
        <v>954</v>
      </c>
      <c r="H158" s="7" t="s">
        <v>59</v>
      </c>
      <c r="I158" s="7" t="s">
        <v>955</v>
      </c>
      <c r="J158" s="7" t="s">
        <v>956</v>
      </c>
      <c r="K158" s="7" t="s">
        <v>957</v>
      </c>
      <c r="L158" s="7" t="s">
        <v>958</v>
      </c>
      <c r="M158" s="7" t="s">
        <v>959</v>
      </c>
      <c r="N158" s="12"/>
      <c r="O158" s="12" t="s">
        <v>40</v>
      </c>
      <c r="P158" s="12"/>
      <c r="Q158" s="12"/>
      <c r="R158" s="13"/>
      <c r="S158" s="12"/>
      <c r="T158" s="12"/>
      <c r="U158" s="12"/>
    </row>
    <row r="159" customFormat="false" ht="22.35" hidden="false" customHeight="false" outlineLevel="0" collapsed="false">
      <c r="A159" s="7" t="s">
        <v>960</v>
      </c>
      <c r="B159" s="7" t="s">
        <v>791</v>
      </c>
      <c r="C159" s="7" t="s">
        <v>952</v>
      </c>
      <c r="D159" s="7" t="s">
        <v>953</v>
      </c>
      <c r="E159" s="7" t="s">
        <v>57</v>
      </c>
      <c r="F159" s="7" t="n">
        <v>1</v>
      </c>
      <c r="G159" s="7" t="s">
        <v>954</v>
      </c>
      <c r="H159" s="7" t="s">
        <v>60</v>
      </c>
      <c r="I159" s="7" t="s">
        <v>961</v>
      </c>
      <c r="J159" s="7" t="s">
        <v>956</v>
      </c>
      <c r="K159" s="7" t="s">
        <v>962</v>
      </c>
      <c r="L159" s="7" t="s">
        <v>136</v>
      </c>
      <c r="M159" s="7" t="s">
        <v>963</v>
      </c>
      <c r="N159" s="12"/>
      <c r="O159" s="12" t="s">
        <v>40</v>
      </c>
      <c r="P159" s="12"/>
      <c r="Q159" s="12"/>
      <c r="R159" s="13"/>
      <c r="S159" s="12"/>
      <c r="T159" s="12"/>
      <c r="U159" s="12"/>
    </row>
    <row r="160" customFormat="false" ht="32.8" hidden="false" customHeight="false" outlineLevel="0" collapsed="false">
      <c r="A160" s="7" t="s">
        <v>964</v>
      </c>
      <c r="B160" s="7" t="s">
        <v>965</v>
      </c>
      <c r="C160" s="7" t="s">
        <v>966</v>
      </c>
      <c r="D160" s="7" t="s">
        <v>967</v>
      </c>
      <c r="E160" s="7" t="s">
        <v>54</v>
      </c>
      <c r="F160" s="7" t="n">
        <v>1</v>
      </c>
      <c r="G160" s="7" t="s">
        <v>968</v>
      </c>
      <c r="H160" s="7" t="s">
        <v>59</v>
      </c>
      <c r="I160" s="7" t="s">
        <v>969</v>
      </c>
      <c r="J160" s="7" t="s">
        <v>970</v>
      </c>
      <c r="K160" s="7" t="s">
        <v>971</v>
      </c>
      <c r="L160" s="7" t="s">
        <v>972</v>
      </c>
      <c r="M160" s="7" t="s">
        <v>973</v>
      </c>
      <c r="N160" s="12"/>
      <c r="O160" s="12" t="s">
        <v>40</v>
      </c>
      <c r="P160" s="12"/>
      <c r="Q160" s="12"/>
      <c r="R160" s="13"/>
      <c r="S160" s="12"/>
      <c r="T160" s="12"/>
      <c r="U160" s="12"/>
    </row>
    <row r="161" customFormat="false" ht="32.8" hidden="false" customHeight="false" outlineLevel="0" collapsed="false">
      <c r="A161" s="7" t="s">
        <v>974</v>
      </c>
      <c r="B161" s="7" t="s">
        <v>965</v>
      </c>
      <c r="C161" s="7" t="s">
        <v>966</v>
      </c>
      <c r="D161" s="7" t="s">
        <v>967</v>
      </c>
      <c r="E161" s="7" t="s">
        <v>54</v>
      </c>
      <c r="F161" s="7" t="n">
        <v>1</v>
      </c>
      <c r="G161" s="7" t="s">
        <v>968</v>
      </c>
      <c r="H161" s="7" t="s">
        <v>60</v>
      </c>
      <c r="I161" s="7" t="s">
        <v>975</v>
      </c>
      <c r="J161" s="7" t="s">
        <v>970</v>
      </c>
      <c r="K161" s="7" t="s">
        <v>976</v>
      </c>
      <c r="L161" s="7" t="s">
        <v>136</v>
      </c>
      <c r="M161" s="7" t="s">
        <v>977</v>
      </c>
      <c r="N161" s="12"/>
      <c r="O161" s="12" t="s">
        <v>40</v>
      </c>
      <c r="P161" s="12"/>
      <c r="Q161" s="12"/>
      <c r="R161" s="13"/>
      <c r="S161" s="12"/>
      <c r="T161" s="12"/>
      <c r="U161" s="12"/>
    </row>
    <row r="162" customFormat="false" ht="32.8" hidden="false" customHeight="false" outlineLevel="0" collapsed="false">
      <c r="A162" s="7" t="s">
        <v>978</v>
      </c>
      <c r="B162" s="7" t="s">
        <v>965</v>
      </c>
      <c r="C162" s="7" t="s">
        <v>966</v>
      </c>
      <c r="D162" s="7" t="s">
        <v>967</v>
      </c>
      <c r="E162" s="7" t="s">
        <v>54</v>
      </c>
      <c r="F162" s="7" t="n">
        <v>2</v>
      </c>
      <c r="G162" s="7" t="s">
        <v>979</v>
      </c>
      <c r="H162" s="7" t="s">
        <v>59</v>
      </c>
      <c r="I162" s="7" t="s">
        <v>980</v>
      </c>
      <c r="J162" s="7" t="s">
        <v>970</v>
      </c>
      <c r="K162" s="7" t="s">
        <v>981</v>
      </c>
      <c r="L162" s="7" t="s">
        <v>136</v>
      </c>
      <c r="M162" s="7" t="s">
        <v>982</v>
      </c>
      <c r="N162" s="12"/>
      <c r="O162" s="12" t="s">
        <v>40</v>
      </c>
      <c r="P162" s="12"/>
      <c r="Q162" s="12"/>
      <c r="R162" s="13"/>
      <c r="S162" s="12"/>
      <c r="T162" s="12"/>
      <c r="U162" s="12"/>
    </row>
    <row r="163" customFormat="false" ht="32.8" hidden="false" customHeight="false" outlineLevel="0" collapsed="false">
      <c r="A163" s="7" t="s">
        <v>983</v>
      </c>
      <c r="B163" s="7" t="s">
        <v>965</v>
      </c>
      <c r="C163" s="7" t="s">
        <v>966</v>
      </c>
      <c r="D163" s="7" t="s">
        <v>967</v>
      </c>
      <c r="E163" s="7" t="s">
        <v>54</v>
      </c>
      <c r="F163" s="7" t="n">
        <v>2</v>
      </c>
      <c r="G163" s="7" t="s">
        <v>979</v>
      </c>
      <c r="H163" s="7" t="s">
        <v>60</v>
      </c>
      <c r="I163" s="7" t="s">
        <v>984</v>
      </c>
      <c r="J163" s="7" t="s">
        <v>970</v>
      </c>
      <c r="K163" s="7" t="s">
        <v>985</v>
      </c>
      <c r="L163" s="7" t="s">
        <v>136</v>
      </c>
      <c r="M163" s="7" t="s">
        <v>986</v>
      </c>
      <c r="N163" s="12"/>
      <c r="O163" s="12" t="s">
        <v>40</v>
      </c>
      <c r="P163" s="12"/>
      <c r="Q163" s="12"/>
      <c r="R163" s="13"/>
      <c r="S163" s="12"/>
      <c r="T163" s="12"/>
      <c r="U163" s="12"/>
    </row>
    <row r="164" customFormat="false" ht="32.8" hidden="false" customHeight="false" outlineLevel="0" collapsed="false">
      <c r="A164" s="7" t="s">
        <v>987</v>
      </c>
      <c r="B164" s="7" t="s">
        <v>965</v>
      </c>
      <c r="C164" s="7" t="s">
        <v>966</v>
      </c>
      <c r="D164" s="7" t="s">
        <v>967</v>
      </c>
      <c r="E164" s="7" t="s">
        <v>54</v>
      </c>
      <c r="F164" s="7" t="n">
        <v>3</v>
      </c>
      <c r="G164" s="7" t="s">
        <v>988</v>
      </c>
      <c r="H164" s="7" t="s">
        <v>59</v>
      </c>
      <c r="I164" s="7" t="s">
        <v>989</v>
      </c>
      <c r="J164" s="7" t="s">
        <v>970</v>
      </c>
      <c r="K164" s="7" t="s">
        <v>990</v>
      </c>
      <c r="L164" s="7" t="s">
        <v>991</v>
      </c>
      <c r="M164" s="7" t="s">
        <v>992</v>
      </c>
      <c r="N164" s="12"/>
      <c r="O164" s="12" t="s">
        <v>40</v>
      </c>
      <c r="P164" s="12"/>
      <c r="Q164" s="12"/>
      <c r="R164" s="13"/>
      <c r="S164" s="12"/>
      <c r="T164" s="12"/>
      <c r="U164" s="12"/>
    </row>
    <row r="165" customFormat="false" ht="32.8" hidden="false" customHeight="false" outlineLevel="0" collapsed="false">
      <c r="A165" s="7" t="s">
        <v>993</v>
      </c>
      <c r="B165" s="7" t="s">
        <v>965</v>
      </c>
      <c r="C165" s="7" t="s">
        <v>966</v>
      </c>
      <c r="D165" s="7" t="s">
        <v>967</v>
      </c>
      <c r="E165" s="7" t="s">
        <v>54</v>
      </c>
      <c r="F165" s="7" t="n">
        <v>3</v>
      </c>
      <c r="G165" s="7" t="s">
        <v>988</v>
      </c>
      <c r="H165" s="7" t="s">
        <v>60</v>
      </c>
      <c r="I165" s="7" t="s">
        <v>994</v>
      </c>
      <c r="J165" s="7" t="s">
        <v>970</v>
      </c>
      <c r="K165" s="7" t="s">
        <v>995</v>
      </c>
      <c r="L165" s="7" t="s">
        <v>996</v>
      </c>
      <c r="M165" s="7" t="s">
        <v>997</v>
      </c>
      <c r="N165" s="12"/>
      <c r="O165" s="12" t="s">
        <v>40</v>
      </c>
      <c r="P165" s="12"/>
      <c r="Q165" s="12"/>
      <c r="R165" s="13"/>
      <c r="S165" s="12"/>
      <c r="T165" s="12"/>
      <c r="U165" s="12"/>
    </row>
    <row r="166" customFormat="false" ht="32.8" hidden="false" customHeight="false" outlineLevel="0" collapsed="false">
      <c r="A166" s="7" t="s">
        <v>998</v>
      </c>
      <c r="B166" s="7" t="s">
        <v>965</v>
      </c>
      <c r="C166" s="7" t="s">
        <v>999</v>
      </c>
      <c r="D166" s="7" t="s">
        <v>1000</v>
      </c>
      <c r="E166" s="7" t="s">
        <v>56</v>
      </c>
      <c r="F166" s="7" t="n">
        <v>1</v>
      </c>
      <c r="G166" s="7" t="s">
        <v>1001</v>
      </c>
      <c r="H166" s="7" t="s">
        <v>59</v>
      </c>
      <c r="I166" s="7" t="s">
        <v>1002</v>
      </c>
      <c r="J166" s="7" t="s">
        <v>1003</v>
      </c>
      <c r="K166" s="7" t="s">
        <v>1004</v>
      </c>
      <c r="L166" s="7" t="s">
        <v>136</v>
      </c>
      <c r="M166" s="7" t="s">
        <v>1005</v>
      </c>
      <c r="N166" s="12"/>
      <c r="O166" s="12" t="s">
        <v>40</v>
      </c>
      <c r="P166" s="12"/>
      <c r="Q166" s="12"/>
      <c r="R166" s="13"/>
      <c r="S166" s="12"/>
      <c r="T166" s="12"/>
      <c r="U166" s="12"/>
    </row>
    <row r="167" customFormat="false" ht="32.8" hidden="false" customHeight="false" outlineLevel="0" collapsed="false">
      <c r="A167" s="7" t="s">
        <v>1006</v>
      </c>
      <c r="B167" s="7" t="s">
        <v>965</v>
      </c>
      <c r="C167" s="7" t="s">
        <v>999</v>
      </c>
      <c r="D167" s="7" t="s">
        <v>1000</v>
      </c>
      <c r="E167" s="7" t="s">
        <v>56</v>
      </c>
      <c r="F167" s="7" t="n">
        <v>1</v>
      </c>
      <c r="G167" s="7" t="s">
        <v>1001</v>
      </c>
      <c r="H167" s="7" t="s">
        <v>60</v>
      </c>
      <c r="I167" s="7" t="s">
        <v>1007</v>
      </c>
      <c r="J167" s="7" t="s">
        <v>1003</v>
      </c>
      <c r="K167" s="7" t="s">
        <v>1008</v>
      </c>
      <c r="L167" s="7" t="s">
        <v>136</v>
      </c>
      <c r="M167" s="7" t="s">
        <v>1009</v>
      </c>
      <c r="N167" s="12"/>
      <c r="O167" s="12" t="s">
        <v>40</v>
      </c>
      <c r="P167" s="12"/>
      <c r="Q167" s="12"/>
      <c r="R167" s="13"/>
      <c r="S167" s="12"/>
      <c r="T167" s="12"/>
      <c r="U167" s="12"/>
    </row>
    <row r="168" customFormat="false" ht="32.8" hidden="false" customHeight="false" outlineLevel="0" collapsed="false">
      <c r="A168" s="7" t="s">
        <v>1010</v>
      </c>
      <c r="B168" s="7" t="s">
        <v>965</v>
      </c>
      <c r="C168" s="7" t="s">
        <v>999</v>
      </c>
      <c r="D168" s="7" t="s">
        <v>1000</v>
      </c>
      <c r="E168" s="7" t="s">
        <v>56</v>
      </c>
      <c r="F168" s="7" t="n">
        <v>2</v>
      </c>
      <c r="G168" s="7" t="s">
        <v>1011</v>
      </c>
      <c r="H168" s="7" t="s">
        <v>59</v>
      </c>
      <c r="I168" s="7" t="s">
        <v>1012</v>
      </c>
      <c r="J168" s="7" t="s">
        <v>1003</v>
      </c>
      <c r="K168" s="7" t="s">
        <v>1013</v>
      </c>
      <c r="L168" s="7" t="s">
        <v>958</v>
      </c>
      <c r="M168" s="7" t="s">
        <v>1014</v>
      </c>
      <c r="N168" s="12"/>
      <c r="O168" s="12" t="s">
        <v>40</v>
      </c>
      <c r="P168" s="12"/>
      <c r="Q168" s="12"/>
      <c r="R168" s="13"/>
      <c r="S168" s="12"/>
      <c r="T168" s="12"/>
      <c r="U168" s="12"/>
    </row>
    <row r="169" customFormat="false" ht="32.8" hidden="false" customHeight="false" outlineLevel="0" collapsed="false">
      <c r="A169" s="7" t="s">
        <v>1015</v>
      </c>
      <c r="B169" s="7" t="s">
        <v>965</v>
      </c>
      <c r="C169" s="7" t="s">
        <v>999</v>
      </c>
      <c r="D169" s="7" t="s">
        <v>1000</v>
      </c>
      <c r="E169" s="7" t="s">
        <v>56</v>
      </c>
      <c r="F169" s="7" t="n">
        <v>2</v>
      </c>
      <c r="G169" s="7" t="s">
        <v>1011</v>
      </c>
      <c r="H169" s="7" t="s">
        <v>60</v>
      </c>
      <c r="I169" s="7" t="s">
        <v>1016</v>
      </c>
      <c r="J169" s="7" t="s">
        <v>1003</v>
      </c>
      <c r="K169" s="7" t="s">
        <v>1017</v>
      </c>
      <c r="L169" s="7" t="s">
        <v>1018</v>
      </c>
      <c r="M169" s="7" t="s">
        <v>1019</v>
      </c>
      <c r="N169" s="12"/>
      <c r="O169" s="12" t="s">
        <v>40</v>
      </c>
      <c r="P169" s="12"/>
      <c r="Q169" s="12"/>
      <c r="R169" s="13"/>
      <c r="S169" s="12"/>
      <c r="T169" s="12"/>
      <c r="U169" s="12"/>
    </row>
    <row r="170" customFormat="false" ht="43.25" hidden="false" customHeight="false" outlineLevel="0" collapsed="false">
      <c r="A170" s="7" t="s">
        <v>1020</v>
      </c>
      <c r="B170" s="7" t="s">
        <v>965</v>
      </c>
      <c r="C170" s="7" t="s">
        <v>1021</v>
      </c>
      <c r="D170" s="7" t="s">
        <v>1022</v>
      </c>
      <c r="E170" s="7" t="s">
        <v>54</v>
      </c>
      <c r="F170" s="7" t="n">
        <v>1</v>
      </c>
      <c r="G170" s="7" t="s">
        <v>1023</v>
      </c>
      <c r="H170" s="7" t="s">
        <v>59</v>
      </c>
      <c r="I170" s="7" t="s">
        <v>1024</v>
      </c>
      <c r="J170" s="7" t="s">
        <v>1025</v>
      </c>
      <c r="K170" s="7" t="s">
        <v>1026</v>
      </c>
      <c r="L170" s="7" t="s">
        <v>1027</v>
      </c>
      <c r="M170" s="7" t="s">
        <v>1028</v>
      </c>
      <c r="N170" s="12"/>
      <c r="O170" s="12" t="s">
        <v>40</v>
      </c>
      <c r="P170" s="12"/>
      <c r="Q170" s="12"/>
      <c r="R170" s="13"/>
      <c r="S170" s="12"/>
      <c r="T170" s="12"/>
      <c r="U170" s="12"/>
    </row>
    <row r="171" customFormat="false" ht="32.8" hidden="false" customHeight="false" outlineLevel="0" collapsed="false">
      <c r="A171" s="7" t="s">
        <v>1029</v>
      </c>
      <c r="B171" s="7" t="s">
        <v>965</v>
      </c>
      <c r="C171" s="7" t="s">
        <v>1021</v>
      </c>
      <c r="D171" s="7" t="s">
        <v>1022</v>
      </c>
      <c r="E171" s="7" t="s">
        <v>54</v>
      </c>
      <c r="F171" s="7" t="n">
        <v>1</v>
      </c>
      <c r="G171" s="7" t="s">
        <v>1023</v>
      </c>
      <c r="H171" s="7" t="s">
        <v>60</v>
      </c>
      <c r="I171" s="7" t="s">
        <v>1030</v>
      </c>
      <c r="J171" s="7" t="s">
        <v>1025</v>
      </c>
      <c r="K171" s="7" t="s">
        <v>1031</v>
      </c>
      <c r="L171" s="7" t="s">
        <v>136</v>
      </c>
      <c r="M171" s="7" t="s">
        <v>1032</v>
      </c>
      <c r="N171" s="12"/>
      <c r="O171" s="12" t="s">
        <v>40</v>
      </c>
      <c r="P171" s="12"/>
      <c r="Q171" s="12"/>
      <c r="R171" s="13"/>
      <c r="S171" s="12"/>
      <c r="T171" s="12"/>
      <c r="U171" s="12"/>
    </row>
    <row r="172" customFormat="false" ht="32.8" hidden="false" customHeight="false" outlineLevel="0" collapsed="false">
      <c r="A172" s="7" t="s">
        <v>1033</v>
      </c>
      <c r="B172" s="7" t="s">
        <v>965</v>
      </c>
      <c r="C172" s="7" t="s">
        <v>1021</v>
      </c>
      <c r="D172" s="7" t="s">
        <v>1022</v>
      </c>
      <c r="E172" s="7" t="s">
        <v>54</v>
      </c>
      <c r="F172" s="7" t="n">
        <v>2</v>
      </c>
      <c r="G172" s="7" t="s">
        <v>1034</v>
      </c>
      <c r="H172" s="7" t="s">
        <v>59</v>
      </c>
      <c r="I172" s="7" t="s">
        <v>1035</v>
      </c>
      <c r="J172" s="7" t="s">
        <v>1025</v>
      </c>
      <c r="K172" s="7" t="s">
        <v>1036</v>
      </c>
      <c r="L172" s="7" t="s">
        <v>1037</v>
      </c>
      <c r="M172" s="7" t="s">
        <v>1038</v>
      </c>
      <c r="N172" s="12"/>
      <c r="O172" s="12" t="s">
        <v>40</v>
      </c>
      <c r="P172" s="12"/>
      <c r="Q172" s="12"/>
      <c r="R172" s="13"/>
      <c r="S172" s="12"/>
      <c r="T172" s="12"/>
      <c r="U172" s="12"/>
    </row>
    <row r="173" customFormat="false" ht="53.7" hidden="false" customHeight="false" outlineLevel="0" collapsed="false">
      <c r="A173" s="7" t="s">
        <v>1039</v>
      </c>
      <c r="B173" s="7" t="s">
        <v>965</v>
      </c>
      <c r="C173" s="7" t="s">
        <v>1021</v>
      </c>
      <c r="D173" s="7" t="s">
        <v>1022</v>
      </c>
      <c r="E173" s="7" t="s">
        <v>54</v>
      </c>
      <c r="F173" s="7" t="n">
        <v>2</v>
      </c>
      <c r="G173" s="7" t="s">
        <v>1034</v>
      </c>
      <c r="H173" s="7" t="s">
        <v>60</v>
      </c>
      <c r="I173" s="7" t="s">
        <v>1040</v>
      </c>
      <c r="J173" s="7" t="s">
        <v>1025</v>
      </c>
      <c r="K173" s="7" t="s">
        <v>1041</v>
      </c>
      <c r="L173" s="7" t="s">
        <v>1042</v>
      </c>
      <c r="M173" s="7" t="s">
        <v>1043</v>
      </c>
      <c r="N173" s="12"/>
      <c r="O173" s="12" t="s">
        <v>40</v>
      </c>
      <c r="P173" s="12"/>
      <c r="Q173" s="12"/>
      <c r="R173" s="13"/>
      <c r="S173" s="12"/>
      <c r="T173" s="12"/>
      <c r="U173" s="12"/>
    </row>
    <row r="174" customFormat="false" ht="32.8" hidden="false" customHeight="false" outlineLevel="0" collapsed="false">
      <c r="A174" s="7" t="s">
        <v>1044</v>
      </c>
      <c r="B174" s="7" t="s">
        <v>965</v>
      </c>
      <c r="C174" s="7" t="s">
        <v>1021</v>
      </c>
      <c r="D174" s="7" t="s">
        <v>1022</v>
      </c>
      <c r="E174" s="7" t="s">
        <v>54</v>
      </c>
      <c r="F174" s="7" t="n">
        <v>3</v>
      </c>
      <c r="G174" s="7" t="s">
        <v>1045</v>
      </c>
      <c r="H174" s="7" t="s">
        <v>59</v>
      </c>
      <c r="I174" s="7" t="s">
        <v>1046</v>
      </c>
      <c r="J174" s="7" t="s">
        <v>1025</v>
      </c>
      <c r="K174" s="7" t="s">
        <v>1047</v>
      </c>
      <c r="L174" s="7" t="s">
        <v>1048</v>
      </c>
      <c r="M174" s="7" t="s">
        <v>1049</v>
      </c>
      <c r="N174" s="12"/>
      <c r="O174" s="12" t="s">
        <v>40</v>
      </c>
      <c r="P174" s="12"/>
      <c r="Q174" s="12"/>
      <c r="R174" s="13"/>
      <c r="S174" s="12"/>
      <c r="T174" s="12"/>
      <c r="U174" s="12"/>
    </row>
    <row r="175" customFormat="false" ht="32.8" hidden="false" customHeight="false" outlineLevel="0" collapsed="false">
      <c r="A175" s="7" t="s">
        <v>1050</v>
      </c>
      <c r="B175" s="7" t="s">
        <v>965</v>
      </c>
      <c r="C175" s="7" t="s">
        <v>1021</v>
      </c>
      <c r="D175" s="7" t="s">
        <v>1022</v>
      </c>
      <c r="E175" s="7" t="s">
        <v>54</v>
      </c>
      <c r="F175" s="7" t="n">
        <v>3</v>
      </c>
      <c r="G175" s="7" t="s">
        <v>1045</v>
      </c>
      <c r="H175" s="7" t="s">
        <v>60</v>
      </c>
      <c r="I175" s="7" t="s">
        <v>1051</v>
      </c>
      <c r="J175" s="7" t="s">
        <v>1025</v>
      </c>
      <c r="K175" s="7" t="s">
        <v>1052</v>
      </c>
      <c r="L175" s="7" t="s">
        <v>136</v>
      </c>
      <c r="M175" s="7" t="s">
        <v>1053</v>
      </c>
      <c r="N175" s="12"/>
      <c r="O175" s="12" t="s">
        <v>40</v>
      </c>
      <c r="P175" s="12"/>
      <c r="Q175" s="12"/>
      <c r="R175" s="13"/>
      <c r="S175" s="12"/>
      <c r="T175" s="12"/>
      <c r="U175" s="12"/>
    </row>
    <row r="176" customFormat="false" ht="22.35" hidden="false" customHeight="false" outlineLevel="0" collapsed="false">
      <c r="A176" s="7" t="s">
        <v>1054</v>
      </c>
      <c r="B176" s="7" t="s">
        <v>965</v>
      </c>
      <c r="C176" s="7" t="s">
        <v>1055</v>
      </c>
      <c r="D176" s="7" t="s">
        <v>1056</v>
      </c>
      <c r="E176" s="7" t="s">
        <v>55</v>
      </c>
      <c r="F176" s="7" t="n">
        <v>1</v>
      </c>
      <c r="G176" s="7" t="s">
        <v>1057</v>
      </c>
      <c r="H176" s="7" t="s">
        <v>59</v>
      </c>
      <c r="I176" s="7" t="s">
        <v>1058</v>
      </c>
      <c r="J176" s="7" t="s">
        <v>1059</v>
      </c>
      <c r="K176" s="7" t="s">
        <v>1060</v>
      </c>
      <c r="L176" s="7" t="s">
        <v>136</v>
      </c>
      <c r="M176" s="7" t="s">
        <v>1061</v>
      </c>
      <c r="N176" s="12"/>
      <c r="O176" s="12" t="s">
        <v>40</v>
      </c>
      <c r="P176" s="12"/>
      <c r="Q176" s="12"/>
      <c r="R176" s="13"/>
      <c r="S176" s="12"/>
      <c r="T176" s="12"/>
      <c r="U176" s="12"/>
    </row>
    <row r="177" customFormat="false" ht="22.35" hidden="false" customHeight="false" outlineLevel="0" collapsed="false">
      <c r="A177" s="7" t="s">
        <v>1062</v>
      </c>
      <c r="B177" s="7" t="s">
        <v>965</v>
      </c>
      <c r="C177" s="7" t="s">
        <v>1055</v>
      </c>
      <c r="D177" s="7" t="s">
        <v>1056</v>
      </c>
      <c r="E177" s="7" t="s">
        <v>55</v>
      </c>
      <c r="F177" s="7" t="n">
        <v>1</v>
      </c>
      <c r="G177" s="7" t="s">
        <v>1057</v>
      </c>
      <c r="H177" s="7" t="s">
        <v>60</v>
      </c>
      <c r="I177" s="7" t="s">
        <v>1063</v>
      </c>
      <c r="J177" s="7" t="s">
        <v>1059</v>
      </c>
      <c r="K177" s="7" t="s">
        <v>1064</v>
      </c>
      <c r="L177" s="7" t="s">
        <v>136</v>
      </c>
      <c r="M177" s="7" t="s">
        <v>1065</v>
      </c>
      <c r="N177" s="12"/>
      <c r="O177" s="12" t="s">
        <v>40</v>
      </c>
      <c r="P177" s="12"/>
      <c r="Q177" s="12"/>
      <c r="R177" s="13"/>
      <c r="S177" s="12"/>
      <c r="T177" s="12"/>
      <c r="U177" s="12"/>
    </row>
    <row r="178" customFormat="false" ht="32.8" hidden="false" customHeight="false" outlineLevel="0" collapsed="false">
      <c r="A178" s="7" t="s">
        <v>1066</v>
      </c>
      <c r="B178" s="7" t="s">
        <v>965</v>
      </c>
      <c r="C178" s="7" t="s">
        <v>1055</v>
      </c>
      <c r="D178" s="7" t="s">
        <v>1056</v>
      </c>
      <c r="E178" s="7" t="s">
        <v>55</v>
      </c>
      <c r="F178" s="7" t="n">
        <v>2</v>
      </c>
      <c r="G178" s="7" t="s">
        <v>1067</v>
      </c>
      <c r="H178" s="7" t="s">
        <v>59</v>
      </c>
      <c r="I178" s="7" t="s">
        <v>1068</v>
      </c>
      <c r="J178" s="7" t="s">
        <v>1059</v>
      </c>
      <c r="K178" s="7" t="s">
        <v>1069</v>
      </c>
      <c r="L178" s="7" t="s">
        <v>136</v>
      </c>
      <c r="M178" s="7" t="s">
        <v>1070</v>
      </c>
      <c r="N178" s="12"/>
      <c r="O178" s="12" t="s">
        <v>40</v>
      </c>
      <c r="P178" s="12"/>
      <c r="Q178" s="12"/>
      <c r="R178" s="13"/>
      <c r="S178" s="12"/>
      <c r="T178" s="12"/>
      <c r="U178" s="12"/>
    </row>
    <row r="179" customFormat="false" ht="22.35" hidden="false" customHeight="false" outlineLevel="0" collapsed="false">
      <c r="A179" s="7" t="s">
        <v>1071</v>
      </c>
      <c r="B179" s="7" t="s">
        <v>965</v>
      </c>
      <c r="C179" s="7" t="s">
        <v>1055</v>
      </c>
      <c r="D179" s="7" t="s">
        <v>1056</v>
      </c>
      <c r="E179" s="7" t="s">
        <v>55</v>
      </c>
      <c r="F179" s="7" t="n">
        <v>2</v>
      </c>
      <c r="G179" s="7" t="s">
        <v>1067</v>
      </c>
      <c r="H179" s="7" t="s">
        <v>60</v>
      </c>
      <c r="I179" s="7" t="s">
        <v>1072</v>
      </c>
      <c r="J179" s="7" t="s">
        <v>1059</v>
      </c>
      <c r="K179" s="7" t="s">
        <v>1073</v>
      </c>
      <c r="L179" s="7" t="s">
        <v>136</v>
      </c>
      <c r="M179" s="7" t="s">
        <v>1074</v>
      </c>
      <c r="N179" s="12"/>
      <c r="O179" s="12" t="s">
        <v>40</v>
      </c>
      <c r="P179" s="12"/>
      <c r="Q179" s="12"/>
      <c r="R179" s="13"/>
      <c r="S179" s="12"/>
      <c r="T179" s="12"/>
      <c r="U179" s="12"/>
    </row>
    <row r="180" customFormat="false" ht="22.35" hidden="false" customHeight="false" outlineLevel="0" collapsed="false">
      <c r="A180" s="7" t="s">
        <v>1075</v>
      </c>
      <c r="B180" s="7" t="s">
        <v>965</v>
      </c>
      <c r="C180" s="7" t="s">
        <v>1076</v>
      </c>
      <c r="D180" s="7" t="s">
        <v>1077</v>
      </c>
      <c r="E180" s="7" t="s">
        <v>54</v>
      </c>
      <c r="F180" s="7" t="n">
        <v>1</v>
      </c>
      <c r="G180" s="7" t="s">
        <v>1078</v>
      </c>
      <c r="H180" s="7" t="s">
        <v>59</v>
      </c>
      <c r="I180" s="7" t="s">
        <v>1079</v>
      </c>
      <c r="J180" s="7" t="s">
        <v>1080</v>
      </c>
      <c r="K180" s="7" t="s">
        <v>1081</v>
      </c>
      <c r="L180" s="7" t="s">
        <v>136</v>
      </c>
      <c r="M180" s="7" t="s">
        <v>1082</v>
      </c>
      <c r="N180" s="12"/>
      <c r="O180" s="12" t="s">
        <v>40</v>
      </c>
      <c r="P180" s="12"/>
      <c r="Q180" s="12"/>
      <c r="R180" s="13"/>
      <c r="S180" s="12"/>
      <c r="T180" s="12"/>
      <c r="U180" s="12"/>
    </row>
    <row r="181" customFormat="false" ht="22.35" hidden="false" customHeight="false" outlineLevel="0" collapsed="false">
      <c r="A181" s="7" t="s">
        <v>1083</v>
      </c>
      <c r="B181" s="7" t="s">
        <v>965</v>
      </c>
      <c r="C181" s="7" t="s">
        <v>1076</v>
      </c>
      <c r="D181" s="7" t="s">
        <v>1077</v>
      </c>
      <c r="E181" s="7" t="s">
        <v>54</v>
      </c>
      <c r="F181" s="7" t="n">
        <v>1</v>
      </c>
      <c r="G181" s="7" t="s">
        <v>1078</v>
      </c>
      <c r="H181" s="7" t="s">
        <v>60</v>
      </c>
      <c r="I181" s="7" t="s">
        <v>1084</v>
      </c>
      <c r="J181" s="7" t="s">
        <v>1080</v>
      </c>
      <c r="K181" s="7" t="s">
        <v>1085</v>
      </c>
      <c r="L181" s="7" t="s">
        <v>136</v>
      </c>
      <c r="M181" s="7" t="s">
        <v>1086</v>
      </c>
      <c r="N181" s="12"/>
      <c r="O181" s="12" t="s">
        <v>40</v>
      </c>
      <c r="P181" s="12"/>
      <c r="Q181" s="12"/>
      <c r="R181" s="13"/>
      <c r="S181" s="12"/>
      <c r="T181" s="12"/>
      <c r="U181" s="12"/>
    </row>
    <row r="182" customFormat="false" ht="22.35" hidden="false" customHeight="false" outlineLevel="0" collapsed="false">
      <c r="A182" s="7" t="s">
        <v>1087</v>
      </c>
      <c r="B182" s="7" t="s">
        <v>965</v>
      </c>
      <c r="C182" s="7" t="s">
        <v>1076</v>
      </c>
      <c r="D182" s="7" t="s">
        <v>1077</v>
      </c>
      <c r="E182" s="7" t="s">
        <v>54</v>
      </c>
      <c r="F182" s="7" t="n">
        <v>2</v>
      </c>
      <c r="G182" s="7" t="s">
        <v>1088</v>
      </c>
      <c r="H182" s="7" t="s">
        <v>59</v>
      </c>
      <c r="I182" s="7" t="s">
        <v>1089</v>
      </c>
      <c r="J182" s="7" t="s">
        <v>1080</v>
      </c>
      <c r="K182" s="7" t="s">
        <v>1090</v>
      </c>
      <c r="L182" s="7" t="s">
        <v>136</v>
      </c>
      <c r="M182" s="7" t="s">
        <v>1091</v>
      </c>
      <c r="N182" s="12"/>
      <c r="O182" s="12" t="s">
        <v>40</v>
      </c>
      <c r="P182" s="12"/>
      <c r="Q182" s="12"/>
      <c r="R182" s="13"/>
      <c r="S182" s="12"/>
      <c r="T182" s="12"/>
      <c r="U182" s="12"/>
    </row>
    <row r="183" customFormat="false" ht="22.35" hidden="false" customHeight="false" outlineLevel="0" collapsed="false">
      <c r="A183" s="7" t="s">
        <v>1092</v>
      </c>
      <c r="B183" s="7" t="s">
        <v>965</v>
      </c>
      <c r="C183" s="7" t="s">
        <v>1076</v>
      </c>
      <c r="D183" s="7" t="s">
        <v>1077</v>
      </c>
      <c r="E183" s="7" t="s">
        <v>54</v>
      </c>
      <c r="F183" s="7" t="n">
        <v>2</v>
      </c>
      <c r="G183" s="7" t="s">
        <v>1088</v>
      </c>
      <c r="H183" s="7" t="s">
        <v>60</v>
      </c>
      <c r="I183" s="7" t="s">
        <v>1093</v>
      </c>
      <c r="J183" s="7" t="s">
        <v>1080</v>
      </c>
      <c r="K183" s="7" t="s">
        <v>1094</v>
      </c>
      <c r="L183" s="7" t="s">
        <v>136</v>
      </c>
      <c r="M183" s="7" t="s">
        <v>1095</v>
      </c>
      <c r="N183" s="12"/>
      <c r="O183" s="12" t="s">
        <v>40</v>
      </c>
      <c r="P183" s="12"/>
      <c r="Q183" s="12"/>
      <c r="R183" s="13"/>
      <c r="S183" s="12"/>
      <c r="T183" s="12"/>
      <c r="U183" s="12"/>
    </row>
    <row r="184" customFormat="false" ht="22.35" hidden="false" customHeight="false" outlineLevel="0" collapsed="false">
      <c r="A184" s="7" t="s">
        <v>1096</v>
      </c>
      <c r="B184" s="7" t="s">
        <v>965</v>
      </c>
      <c r="C184" s="7" t="s">
        <v>1076</v>
      </c>
      <c r="D184" s="7" t="s">
        <v>1077</v>
      </c>
      <c r="E184" s="7" t="s">
        <v>54</v>
      </c>
      <c r="F184" s="7" t="n">
        <v>3</v>
      </c>
      <c r="G184" s="7" t="s">
        <v>1097</v>
      </c>
      <c r="H184" s="7" t="s">
        <v>59</v>
      </c>
      <c r="I184" s="7" t="s">
        <v>1098</v>
      </c>
      <c r="J184" s="7" t="s">
        <v>1080</v>
      </c>
      <c r="K184" s="7" t="s">
        <v>1099</v>
      </c>
      <c r="L184" s="7" t="s">
        <v>136</v>
      </c>
      <c r="M184" s="7" t="s">
        <v>1100</v>
      </c>
      <c r="N184" s="12"/>
      <c r="O184" s="12" t="s">
        <v>40</v>
      </c>
      <c r="P184" s="12"/>
      <c r="Q184" s="12"/>
      <c r="R184" s="13"/>
      <c r="S184" s="12"/>
      <c r="T184" s="12"/>
      <c r="U184" s="12"/>
    </row>
    <row r="185" customFormat="false" ht="22.35" hidden="false" customHeight="false" outlineLevel="0" collapsed="false">
      <c r="A185" s="7" t="s">
        <v>1101</v>
      </c>
      <c r="B185" s="7" t="s">
        <v>965</v>
      </c>
      <c r="C185" s="7" t="s">
        <v>1076</v>
      </c>
      <c r="D185" s="7" t="s">
        <v>1077</v>
      </c>
      <c r="E185" s="7" t="s">
        <v>54</v>
      </c>
      <c r="F185" s="7" t="n">
        <v>3</v>
      </c>
      <c r="G185" s="7" t="s">
        <v>1097</v>
      </c>
      <c r="H185" s="7" t="s">
        <v>60</v>
      </c>
      <c r="I185" s="7" t="s">
        <v>1102</v>
      </c>
      <c r="J185" s="7" t="s">
        <v>1080</v>
      </c>
      <c r="K185" s="7" t="s">
        <v>1103</v>
      </c>
      <c r="L185" s="7" t="s">
        <v>136</v>
      </c>
      <c r="M185" s="7" t="s">
        <v>1104</v>
      </c>
      <c r="N185" s="12"/>
      <c r="O185" s="12" t="s">
        <v>40</v>
      </c>
      <c r="P185" s="12"/>
      <c r="Q185" s="12"/>
      <c r="R185" s="13"/>
      <c r="S185" s="12"/>
      <c r="T185" s="12"/>
      <c r="U185" s="12"/>
    </row>
    <row r="186" customFormat="false" ht="22.35" hidden="false" customHeight="false" outlineLevel="0" collapsed="false">
      <c r="A186" s="7" t="s">
        <v>1105</v>
      </c>
      <c r="B186" s="7" t="s">
        <v>965</v>
      </c>
      <c r="C186" s="7" t="s">
        <v>1106</v>
      </c>
      <c r="D186" s="7" t="s">
        <v>1107</v>
      </c>
      <c r="E186" s="7" t="s">
        <v>54</v>
      </c>
      <c r="F186" s="7" t="n">
        <v>1</v>
      </c>
      <c r="G186" s="7" t="s">
        <v>1108</v>
      </c>
      <c r="H186" s="7" t="s">
        <v>59</v>
      </c>
      <c r="I186" s="7" t="s">
        <v>1109</v>
      </c>
      <c r="J186" s="7" t="s">
        <v>1110</v>
      </c>
      <c r="K186" s="7" t="s">
        <v>1111</v>
      </c>
      <c r="L186" s="7" t="s">
        <v>136</v>
      </c>
      <c r="M186" s="7" t="s">
        <v>1112</v>
      </c>
      <c r="N186" s="12"/>
      <c r="O186" s="12" t="s">
        <v>40</v>
      </c>
      <c r="P186" s="12"/>
      <c r="Q186" s="12"/>
      <c r="R186" s="13"/>
      <c r="S186" s="12"/>
      <c r="T186" s="12"/>
      <c r="U186" s="12"/>
    </row>
    <row r="187" customFormat="false" ht="32.8" hidden="false" customHeight="false" outlineLevel="0" collapsed="false">
      <c r="A187" s="7" t="s">
        <v>1113</v>
      </c>
      <c r="B187" s="7" t="s">
        <v>965</v>
      </c>
      <c r="C187" s="7" t="s">
        <v>1106</v>
      </c>
      <c r="D187" s="7" t="s">
        <v>1107</v>
      </c>
      <c r="E187" s="7" t="s">
        <v>54</v>
      </c>
      <c r="F187" s="7" t="n">
        <v>1</v>
      </c>
      <c r="G187" s="7" t="s">
        <v>1108</v>
      </c>
      <c r="H187" s="7" t="s">
        <v>60</v>
      </c>
      <c r="I187" s="7" t="s">
        <v>1114</v>
      </c>
      <c r="J187" s="7" t="s">
        <v>1110</v>
      </c>
      <c r="K187" s="7" t="s">
        <v>1115</v>
      </c>
      <c r="L187" s="7" t="s">
        <v>136</v>
      </c>
      <c r="M187" s="7" t="s">
        <v>1116</v>
      </c>
      <c r="N187" s="12"/>
      <c r="O187" s="12" t="s">
        <v>40</v>
      </c>
      <c r="P187" s="12"/>
      <c r="Q187" s="12"/>
      <c r="R187" s="13"/>
      <c r="S187" s="12"/>
      <c r="T187" s="12"/>
      <c r="U187" s="12"/>
    </row>
    <row r="188" customFormat="false" ht="22.35" hidden="false" customHeight="false" outlineLevel="0" collapsed="false">
      <c r="A188" s="7" t="s">
        <v>1117</v>
      </c>
      <c r="B188" s="7" t="s">
        <v>965</v>
      </c>
      <c r="C188" s="7" t="s">
        <v>1106</v>
      </c>
      <c r="D188" s="7" t="s">
        <v>1107</v>
      </c>
      <c r="E188" s="7" t="s">
        <v>54</v>
      </c>
      <c r="F188" s="7" t="n">
        <v>2</v>
      </c>
      <c r="G188" s="7" t="s">
        <v>1118</v>
      </c>
      <c r="H188" s="7" t="s">
        <v>59</v>
      </c>
      <c r="I188" s="7" t="s">
        <v>1119</v>
      </c>
      <c r="J188" s="7" t="s">
        <v>1110</v>
      </c>
      <c r="K188" s="7" t="s">
        <v>1120</v>
      </c>
      <c r="L188" s="7" t="s">
        <v>136</v>
      </c>
      <c r="M188" s="7" t="s">
        <v>1121</v>
      </c>
      <c r="N188" s="12"/>
      <c r="O188" s="12" t="s">
        <v>40</v>
      </c>
      <c r="P188" s="12"/>
      <c r="Q188" s="12"/>
      <c r="R188" s="13"/>
      <c r="S188" s="12"/>
      <c r="T188" s="12"/>
      <c r="U188" s="12"/>
    </row>
    <row r="189" customFormat="false" ht="22.35" hidden="false" customHeight="false" outlineLevel="0" collapsed="false">
      <c r="A189" s="7" t="s">
        <v>1122</v>
      </c>
      <c r="B189" s="7" t="s">
        <v>965</v>
      </c>
      <c r="C189" s="7" t="s">
        <v>1106</v>
      </c>
      <c r="D189" s="7" t="s">
        <v>1107</v>
      </c>
      <c r="E189" s="7" t="s">
        <v>54</v>
      </c>
      <c r="F189" s="7" t="n">
        <v>2</v>
      </c>
      <c r="G189" s="7" t="s">
        <v>1118</v>
      </c>
      <c r="H189" s="7" t="s">
        <v>60</v>
      </c>
      <c r="I189" s="7" t="s">
        <v>1123</v>
      </c>
      <c r="J189" s="7" t="s">
        <v>1110</v>
      </c>
      <c r="K189" s="7" t="s">
        <v>1124</v>
      </c>
      <c r="L189" s="7" t="s">
        <v>136</v>
      </c>
      <c r="M189" s="7" t="s">
        <v>1125</v>
      </c>
      <c r="N189" s="12"/>
      <c r="O189" s="12" t="s">
        <v>40</v>
      </c>
      <c r="P189" s="12"/>
      <c r="Q189" s="12"/>
      <c r="R189" s="13"/>
      <c r="S189" s="12"/>
      <c r="T189" s="12"/>
      <c r="U189" s="12"/>
    </row>
    <row r="190" customFormat="false" ht="22.35" hidden="false" customHeight="false" outlineLevel="0" collapsed="false">
      <c r="A190" s="7" t="s">
        <v>1126</v>
      </c>
      <c r="B190" s="7" t="s">
        <v>965</v>
      </c>
      <c r="C190" s="7" t="s">
        <v>1127</v>
      </c>
      <c r="D190" s="7" t="s">
        <v>1128</v>
      </c>
      <c r="E190" s="7" t="s">
        <v>54</v>
      </c>
      <c r="F190" s="7" t="n">
        <v>1</v>
      </c>
      <c r="G190" s="7" t="s">
        <v>1129</v>
      </c>
      <c r="H190" s="7" t="s">
        <v>59</v>
      </c>
      <c r="I190" s="7" t="s">
        <v>1130</v>
      </c>
      <c r="J190" s="7" t="s">
        <v>1131</v>
      </c>
      <c r="K190" s="7" t="s">
        <v>1132</v>
      </c>
      <c r="L190" s="7" t="s">
        <v>136</v>
      </c>
      <c r="M190" s="7" t="s">
        <v>1133</v>
      </c>
      <c r="N190" s="12"/>
      <c r="O190" s="12" t="s">
        <v>40</v>
      </c>
      <c r="P190" s="12"/>
      <c r="Q190" s="12"/>
      <c r="R190" s="13"/>
      <c r="S190" s="12"/>
      <c r="T190" s="12"/>
      <c r="U190" s="12"/>
    </row>
    <row r="191" customFormat="false" ht="22.35" hidden="false" customHeight="false" outlineLevel="0" collapsed="false">
      <c r="A191" s="7" t="s">
        <v>1134</v>
      </c>
      <c r="B191" s="7" t="s">
        <v>965</v>
      </c>
      <c r="C191" s="7" t="s">
        <v>1127</v>
      </c>
      <c r="D191" s="7" t="s">
        <v>1128</v>
      </c>
      <c r="E191" s="7" t="s">
        <v>54</v>
      </c>
      <c r="F191" s="7" t="n">
        <v>1</v>
      </c>
      <c r="G191" s="7" t="s">
        <v>1129</v>
      </c>
      <c r="H191" s="7" t="s">
        <v>60</v>
      </c>
      <c r="I191" s="7" t="s">
        <v>1135</v>
      </c>
      <c r="J191" s="7" t="s">
        <v>1131</v>
      </c>
      <c r="K191" s="7" t="s">
        <v>1136</v>
      </c>
      <c r="L191" s="7" t="s">
        <v>136</v>
      </c>
      <c r="M191" s="7" t="s">
        <v>1137</v>
      </c>
      <c r="N191" s="12"/>
      <c r="O191" s="12" t="s">
        <v>40</v>
      </c>
      <c r="P191" s="12"/>
      <c r="Q191" s="12"/>
      <c r="R191" s="13"/>
      <c r="S191" s="12"/>
      <c r="T191" s="12"/>
      <c r="U191" s="12"/>
    </row>
    <row r="192" customFormat="false" ht="32.8" hidden="false" customHeight="false" outlineLevel="0" collapsed="false">
      <c r="A192" s="7" t="s">
        <v>1138</v>
      </c>
      <c r="B192" s="7" t="s">
        <v>965</v>
      </c>
      <c r="C192" s="7" t="s">
        <v>1127</v>
      </c>
      <c r="D192" s="7" t="s">
        <v>1128</v>
      </c>
      <c r="E192" s="7" t="s">
        <v>54</v>
      </c>
      <c r="F192" s="7" t="n">
        <v>2</v>
      </c>
      <c r="G192" s="7" t="s">
        <v>1139</v>
      </c>
      <c r="H192" s="7" t="s">
        <v>59</v>
      </c>
      <c r="I192" s="7" t="s">
        <v>1140</v>
      </c>
      <c r="J192" s="7" t="s">
        <v>1131</v>
      </c>
      <c r="K192" s="7" t="s">
        <v>1141</v>
      </c>
      <c r="L192" s="7" t="s">
        <v>136</v>
      </c>
      <c r="M192" s="7" t="s">
        <v>1142</v>
      </c>
      <c r="N192" s="12"/>
      <c r="O192" s="12" t="s">
        <v>40</v>
      </c>
      <c r="P192" s="12"/>
      <c r="Q192" s="12"/>
      <c r="R192" s="13"/>
      <c r="S192" s="12"/>
      <c r="T192" s="12"/>
      <c r="U192" s="12"/>
    </row>
    <row r="193" customFormat="false" ht="32.8" hidden="false" customHeight="false" outlineLevel="0" collapsed="false">
      <c r="A193" s="7" t="s">
        <v>1143</v>
      </c>
      <c r="B193" s="7" t="s">
        <v>965</v>
      </c>
      <c r="C193" s="7" t="s">
        <v>1127</v>
      </c>
      <c r="D193" s="7" t="s">
        <v>1128</v>
      </c>
      <c r="E193" s="7" t="s">
        <v>54</v>
      </c>
      <c r="F193" s="7" t="n">
        <v>2</v>
      </c>
      <c r="G193" s="7" t="s">
        <v>1139</v>
      </c>
      <c r="H193" s="7" t="s">
        <v>60</v>
      </c>
      <c r="I193" s="7" t="s">
        <v>1144</v>
      </c>
      <c r="J193" s="7" t="s">
        <v>1131</v>
      </c>
      <c r="K193" s="7" t="s">
        <v>1145</v>
      </c>
      <c r="L193" s="7" t="s">
        <v>1146</v>
      </c>
      <c r="M193" s="7" t="s">
        <v>1147</v>
      </c>
      <c r="N193" s="12"/>
      <c r="O193" s="12" t="s">
        <v>40</v>
      </c>
      <c r="P193" s="12"/>
      <c r="Q193" s="12"/>
      <c r="R193" s="13"/>
      <c r="S193" s="12"/>
      <c r="T193" s="12"/>
      <c r="U193" s="12"/>
    </row>
    <row r="194" customFormat="false" ht="32.8" hidden="false" customHeight="false" outlineLevel="0" collapsed="false">
      <c r="A194" s="7" t="s">
        <v>1148</v>
      </c>
      <c r="B194" s="7" t="s">
        <v>965</v>
      </c>
      <c r="C194" s="7" t="s">
        <v>1149</v>
      </c>
      <c r="D194" s="7" t="s">
        <v>1150</v>
      </c>
      <c r="E194" s="7" t="s">
        <v>57</v>
      </c>
      <c r="F194" s="7" t="n">
        <v>1</v>
      </c>
      <c r="G194" s="7" t="s">
        <v>1151</v>
      </c>
      <c r="H194" s="7" t="s">
        <v>59</v>
      </c>
      <c r="I194" s="7" t="s">
        <v>1152</v>
      </c>
      <c r="J194" s="7" t="s">
        <v>1153</v>
      </c>
      <c r="K194" s="7" t="s">
        <v>1154</v>
      </c>
      <c r="L194" s="7" t="s">
        <v>136</v>
      </c>
      <c r="M194" s="7" t="s">
        <v>1155</v>
      </c>
      <c r="N194" s="12"/>
      <c r="O194" s="12" t="s">
        <v>40</v>
      </c>
      <c r="P194" s="12"/>
      <c r="Q194" s="12"/>
      <c r="R194" s="13"/>
      <c r="S194" s="12"/>
      <c r="T194" s="12"/>
      <c r="U194" s="12"/>
    </row>
    <row r="195" customFormat="false" ht="32.8" hidden="false" customHeight="false" outlineLevel="0" collapsed="false">
      <c r="A195" s="7" t="s">
        <v>1156</v>
      </c>
      <c r="B195" s="7" t="s">
        <v>965</v>
      </c>
      <c r="C195" s="7" t="s">
        <v>1149</v>
      </c>
      <c r="D195" s="7" t="s">
        <v>1150</v>
      </c>
      <c r="E195" s="7" t="s">
        <v>57</v>
      </c>
      <c r="F195" s="7" t="n">
        <v>1</v>
      </c>
      <c r="G195" s="7" t="s">
        <v>1151</v>
      </c>
      <c r="H195" s="7" t="s">
        <v>60</v>
      </c>
      <c r="I195" s="7" t="s">
        <v>1157</v>
      </c>
      <c r="J195" s="7" t="s">
        <v>1153</v>
      </c>
      <c r="K195" s="7" t="s">
        <v>1158</v>
      </c>
      <c r="L195" s="7" t="s">
        <v>136</v>
      </c>
      <c r="M195" s="7" t="s">
        <v>1159</v>
      </c>
      <c r="N195" s="12"/>
      <c r="O195" s="12" t="s">
        <v>40</v>
      </c>
      <c r="P195" s="12"/>
      <c r="Q195" s="12"/>
      <c r="R195" s="13"/>
      <c r="S195" s="12"/>
      <c r="T195" s="12"/>
      <c r="U195" s="12"/>
    </row>
    <row r="196" customFormat="false" ht="32.8" hidden="false" customHeight="false" outlineLevel="0" collapsed="false">
      <c r="A196" s="7" t="s">
        <v>1160</v>
      </c>
      <c r="B196" s="7" t="s">
        <v>965</v>
      </c>
      <c r="C196" s="7" t="s">
        <v>1149</v>
      </c>
      <c r="D196" s="7" t="s">
        <v>1150</v>
      </c>
      <c r="E196" s="7" t="s">
        <v>57</v>
      </c>
      <c r="F196" s="7" t="n">
        <v>2</v>
      </c>
      <c r="G196" s="7" t="s">
        <v>1161</v>
      </c>
      <c r="H196" s="7" t="s">
        <v>59</v>
      </c>
      <c r="I196" s="7" t="s">
        <v>1162</v>
      </c>
      <c r="J196" s="7" t="s">
        <v>1153</v>
      </c>
      <c r="K196" s="7" t="s">
        <v>1163</v>
      </c>
      <c r="L196" s="7" t="s">
        <v>136</v>
      </c>
      <c r="M196" s="7" t="s">
        <v>1164</v>
      </c>
      <c r="N196" s="12"/>
      <c r="O196" s="12" t="s">
        <v>40</v>
      </c>
      <c r="P196" s="12"/>
      <c r="Q196" s="12"/>
      <c r="R196" s="13"/>
      <c r="S196" s="12"/>
      <c r="T196" s="12"/>
      <c r="U196" s="12"/>
    </row>
    <row r="197" customFormat="false" ht="32.8" hidden="false" customHeight="false" outlineLevel="0" collapsed="false">
      <c r="A197" s="7" t="s">
        <v>1165</v>
      </c>
      <c r="B197" s="7" t="s">
        <v>965</v>
      </c>
      <c r="C197" s="7" t="s">
        <v>1149</v>
      </c>
      <c r="D197" s="7" t="s">
        <v>1150</v>
      </c>
      <c r="E197" s="7" t="s">
        <v>57</v>
      </c>
      <c r="F197" s="7" t="n">
        <v>2</v>
      </c>
      <c r="G197" s="7" t="s">
        <v>1161</v>
      </c>
      <c r="H197" s="7" t="s">
        <v>60</v>
      </c>
      <c r="I197" s="7" t="s">
        <v>1166</v>
      </c>
      <c r="J197" s="7" t="s">
        <v>1153</v>
      </c>
      <c r="K197" s="7" t="s">
        <v>1167</v>
      </c>
      <c r="L197" s="7" t="s">
        <v>136</v>
      </c>
      <c r="M197" s="7" t="s">
        <v>1168</v>
      </c>
      <c r="N197" s="12"/>
      <c r="O197" s="12" t="s">
        <v>40</v>
      </c>
      <c r="P197" s="12"/>
      <c r="Q197" s="12"/>
      <c r="R197" s="13"/>
      <c r="S197" s="12"/>
      <c r="T197" s="12"/>
      <c r="U197" s="12"/>
    </row>
    <row r="198" customFormat="false" ht="22.35" hidden="false" customHeight="false" outlineLevel="0" collapsed="false">
      <c r="A198" s="7" t="s">
        <v>1169</v>
      </c>
      <c r="B198" s="7" t="s">
        <v>1170</v>
      </c>
      <c r="C198" s="7" t="s">
        <v>1171</v>
      </c>
      <c r="D198" s="7" t="s">
        <v>1172</v>
      </c>
      <c r="E198" s="7" t="s">
        <v>55</v>
      </c>
      <c r="F198" s="7" t="n">
        <v>1</v>
      </c>
      <c r="G198" s="7" t="s">
        <v>1173</v>
      </c>
      <c r="H198" s="7" t="s">
        <v>59</v>
      </c>
      <c r="I198" s="7" t="s">
        <v>1174</v>
      </c>
      <c r="J198" s="7" t="s">
        <v>1175</v>
      </c>
      <c r="K198" s="7" t="s">
        <v>1176</v>
      </c>
      <c r="L198" s="7" t="s">
        <v>136</v>
      </c>
      <c r="M198" s="7" t="s">
        <v>1177</v>
      </c>
      <c r="N198" s="12"/>
      <c r="O198" s="12" t="s">
        <v>40</v>
      </c>
      <c r="P198" s="12"/>
      <c r="Q198" s="12"/>
      <c r="R198" s="13"/>
      <c r="S198" s="12"/>
      <c r="T198" s="12"/>
      <c r="U198" s="12"/>
    </row>
    <row r="199" customFormat="false" ht="22.35" hidden="false" customHeight="false" outlineLevel="0" collapsed="false">
      <c r="A199" s="7" t="s">
        <v>1178</v>
      </c>
      <c r="B199" s="7" t="s">
        <v>1170</v>
      </c>
      <c r="C199" s="7" t="s">
        <v>1171</v>
      </c>
      <c r="D199" s="7" t="s">
        <v>1172</v>
      </c>
      <c r="E199" s="7" t="s">
        <v>55</v>
      </c>
      <c r="F199" s="7" t="n">
        <v>1</v>
      </c>
      <c r="G199" s="7" t="s">
        <v>1173</v>
      </c>
      <c r="H199" s="7" t="s">
        <v>60</v>
      </c>
      <c r="I199" s="7" t="s">
        <v>1179</v>
      </c>
      <c r="J199" s="7" t="s">
        <v>1175</v>
      </c>
      <c r="K199" s="7" t="s">
        <v>1180</v>
      </c>
      <c r="L199" s="7" t="s">
        <v>136</v>
      </c>
      <c r="M199" s="7" t="s">
        <v>1181</v>
      </c>
      <c r="N199" s="12"/>
      <c r="O199" s="12" t="s">
        <v>40</v>
      </c>
      <c r="P199" s="12"/>
      <c r="Q199" s="12"/>
      <c r="R199" s="13"/>
      <c r="S199" s="12"/>
      <c r="T199" s="12"/>
      <c r="U199" s="12"/>
    </row>
    <row r="200" customFormat="false" ht="22.35" hidden="false" customHeight="false" outlineLevel="0" collapsed="false">
      <c r="A200" s="7" t="s">
        <v>1182</v>
      </c>
      <c r="B200" s="7" t="s">
        <v>1170</v>
      </c>
      <c r="C200" s="7" t="s">
        <v>1171</v>
      </c>
      <c r="D200" s="7" t="s">
        <v>1172</v>
      </c>
      <c r="E200" s="7" t="s">
        <v>55</v>
      </c>
      <c r="F200" s="7" t="n">
        <v>2</v>
      </c>
      <c r="G200" s="7" t="s">
        <v>1183</v>
      </c>
      <c r="H200" s="7" t="s">
        <v>59</v>
      </c>
      <c r="I200" s="7" t="s">
        <v>1184</v>
      </c>
      <c r="J200" s="7" t="s">
        <v>1175</v>
      </c>
      <c r="K200" s="7" t="s">
        <v>1185</v>
      </c>
      <c r="L200" s="7" t="s">
        <v>136</v>
      </c>
      <c r="M200" s="7" t="s">
        <v>1186</v>
      </c>
      <c r="N200" s="12"/>
      <c r="O200" s="12" t="s">
        <v>40</v>
      </c>
      <c r="P200" s="12"/>
      <c r="Q200" s="12"/>
      <c r="R200" s="13"/>
      <c r="S200" s="12"/>
      <c r="T200" s="12"/>
      <c r="U200" s="12"/>
    </row>
    <row r="201" customFormat="false" ht="22.35" hidden="false" customHeight="false" outlineLevel="0" collapsed="false">
      <c r="A201" s="7" t="s">
        <v>1187</v>
      </c>
      <c r="B201" s="7" t="s">
        <v>1170</v>
      </c>
      <c r="C201" s="7" t="s">
        <v>1171</v>
      </c>
      <c r="D201" s="7" t="s">
        <v>1172</v>
      </c>
      <c r="E201" s="7" t="s">
        <v>55</v>
      </c>
      <c r="F201" s="7" t="n">
        <v>2</v>
      </c>
      <c r="G201" s="7" t="s">
        <v>1183</v>
      </c>
      <c r="H201" s="7" t="s">
        <v>60</v>
      </c>
      <c r="I201" s="7" t="s">
        <v>1188</v>
      </c>
      <c r="J201" s="7" t="s">
        <v>1175</v>
      </c>
      <c r="K201" s="7" t="s">
        <v>1189</v>
      </c>
      <c r="L201" s="7" t="s">
        <v>136</v>
      </c>
      <c r="M201" s="7" t="s">
        <v>1190</v>
      </c>
      <c r="N201" s="12"/>
      <c r="O201" s="12" t="s">
        <v>40</v>
      </c>
      <c r="P201" s="12"/>
      <c r="Q201" s="12"/>
      <c r="R201" s="13"/>
      <c r="S201" s="12"/>
      <c r="T201" s="12"/>
      <c r="U201" s="12"/>
    </row>
    <row r="202" customFormat="false" ht="22.35" hidden="false" customHeight="false" outlineLevel="0" collapsed="false">
      <c r="A202" s="7" t="s">
        <v>1191</v>
      </c>
      <c r="B202" s="7" t="s">
        <v>1170</v>
      </c>
      <c r="C202" s="7" t="s">
        <v>1192</v>
      </c>
      <c r="D202" s="7" t="s">
        <v>1193</v>
      </c>
      <c r="E202" s="7" t="s">
        <v>56</v>
      </c>
      <c r="F202" s="7" t="n">
        <v>1</v>
      </c>
      <c r="G202" s="7" t="s">
        <v>1194</v>
      </c>
      <c r="H202" s="7" t="s">
        <v>59</v>
      </c>
      <c r="I202" s="7" t="s">
        <v>1195</v>
      </c>
      <c r="J202" s="7" t="s">
        <v>1196</v>
      </c>
      <c r="K202" s="7" t="s">
        <v>1197</v>
      </c>
      <c r="L202" s="7" t="s">
        <v>1198</v>
      </c>
      <c r="M202" s="7" t="s">
        <v>1199</v>
      </c>
      <c r="N202" s="12"/>
      <c r="O202" s="12" t="s">
        <v>40</v>
      </c>
      <c r="P202" s="12"/>
      <c r="Q202" s="12"/>
      <c r="R202" s="13"/>
      <c r="S202" s="12"/>
      <c r="T202" s="12"/>
      <c r="U202" s="12"/>
    </row>
    <row r="203" customFormat="false" ht="22.35" hidden="false" customHeight="false" outlineLevel="0" collapsed="false">
      <c r="A203" s="7" t="s">
        <v>1200</v>
      </c>
      <c r="B203" s="7" t="s">
        <v>1170</v>
      </c>
      <c r="C203" s="7" t="s">
        <v>1192</v>
      </c>
      <c r="D203" s="7" t="s">
        <v>1193</v>
      </c>
      <c r="E203" s="7" t="s">
        <v>56</v>
      </c>
      <c r="F203" s="7" t="n">
        <v>1</v>
      </c>
      <c r="G203" s="7" t="s">
        <v>1194</v>
      </c>
      <c r="H203" s="7" t="s">
        <v>60</v>
      </c>
      <c r="I203" s="7" t="s">
        <v>1201</v>
      </c>
      <c r="J203" s="7" t="s">
        <v>1196</v>
      </c>
      <c r="K203" s="7" t="s">
        <v>1202</v>
      </c>
      <c r="L203" s="7" t="s">
        <v>136</v>
      </c>
      <c r="M203" s="7" t="s">
        <v>1203</v>
      </c>
      <c r="N203" s="12"/>
      <c r="O203" s="12" t="s">
        <v>40</v>
      </c>
      <c r="P203" s="12"/>
      <c r="Q203" s="12"/>
      <c r="R203" s="13"/>
      <c r="S203" s="12"/>
      <c r="T203" s="12"/>
      <c r="U203" s="12"/>
    </row>
    <row r="204" customFormat="false" ht="22.35" hidden="false" customHeight="false" outlineLevel="0" collapsed="false">
      <c r="A204" s="7" t="s">
        <v>1204</v>
      </c>
      <c r="B204" s="7" t="s">
        <v>1170</v>
      </c>
      <c r="C204" s="7" t="s">
        <v>1192</v>
      </c>
      <c r="D204" s="7" t="s">
        <v>1193</v>
      </c>
      <c r="E204" s="7" t="s">
        <v>56</v>
      </c>
      <c r="F204" s="7" t="n">
        <v>2</v>
      </c>
      <c r="G204" s="7" t="s">
        <v>1205</v>
      </c>
      <c r="H204" s="7" t="s">
        <v>59</v>
      </c>
      <c r="I204" s="7" t="s">
        <v>1206</v>
      </c>
      <c r="J204" s="7" t="s">
        <v>1196</v>
      </c>
      <c r="K204" s="7" t="s">
        <v>1207</v>
      </c>
      <c r="L204" s="7" t="s">
        <v>136</v>
      </c>
      <c r="M204" s="7" t="s">
        <v>1208</v>
      </c>
      <c r="N204" s="12"/>
      <c r="O204" s="12" t="s">
        <v>40</v>
      </c>
      <c r="P204" s="12"/>
      <c r="Q204" s="12"/>
      <c r="R204" s="13"/>
      <c r="S204" s="12"/>
      <c r="T204" s="12"/>
      <c r="U204" s="12"/>
    </row>
    <row r="205" customFormat="false" ht="22.35" hidden="false" customHeight="false" outlineLevel="0" collapsed="false">
      <c r="A205" s="7" t="s">
        <v>1209</v>
      </c>
      <c r="B205" s="7" t="s">
        <v>1170</v>
      </c>
      <c r="C205" s="7" t="s">
        <v>1192</v>
      </c>
      <c r="D205" s="7" t="s">
        <v>1193</v>
      </c>
      <c r="E205" s="7" t="s">
        <v>56</v>
      </c>
      <c r="F205" s="7" t="n">
        <v>2</v>
      </c>
      <c r="G205" s="7" t="s">
        <v>1205</v>
      </c>
      <c r="H205" s="7" t="s">
        <v>60</v>
      </c>
      <c r="I205" s="7" t="s">
        <v>1210</v>
      </c>
      <c r="J205" s="7" t="s">
        <v>1196</v>
      </c>
      <c r="K205" s="7" t="s">
        <v>1211</v>
      </c>
      <c r="L205" s="7" t="s">
        <v>136</v>
      </c>
      <c r="M205" s="7" t="s">
        <v>1212</v>
      </c>
      <c r="N205" s="12"/>
      <c r="O205" s="12" t="s">
        <v>40</v>
      </c>
      <c r="P205" s="12"/>
      <c r="Q205" s="12"/>
      <c r="R205" s="13"/>
      <c r="S205" s="12"/>
      <c r="T205" s="12"/>
      <c r="U205" s="12"/>
    </row>
    <row r="206" customFormat="false" ht="43.25" hidden="false" customHeight="false" outlineLevel="0" collapsed="false">
      <c r="A206" s="7" t="s">
        <v>1213</v>
      </c>
      <c r="B206" s="7" t="s">
        <v>1170</v>
      </c>
      <c r="C206" s="7" t="s">
        <v>1214</v>
      </c>
      <c r="D206" s="7" t="s">
        <v>1215</v>
      </c>
      <c r="E206" s="7" t="s">
        <v>55</v>
      </c>
      <c r="F206" s="7" t="n">
        <v>1</v>
      </c>
      <c r="G206" s="7" t="s">
        <v>1216</v>
      </c>
      <c r="H206" s="7" t="s">
        <v>59</v>
      </c>
      <c r="I206" s="7" t="s">
        <v>1217</v>
      </c>
      <c r="J206" s="7" t="s">
        <v>1218</v>
      </c>
      <c r="K206" s="7" t="s">
        <v>1219</v>
      </c>
      <c r="L206" s="7" t="s">
        <v>136</v>
      </c>
      <c r="M206" s="7" t="s">
        <v>1220</v>
      </c>
      <c r="N206" s="12"/>
      <c r="O206" s="12" t="s">
        <v>40</v>
      </c>
      <c r="P206" s="12"/>
      <c r="Q206" s="12"/>
      <c r="R206" s="13"/>
      <c r="S206" s="12"/>
      <c r="T206" s="12"/>
      <c r="U206" s="12"/>
    </row>
    <row r="207" customFormat="false" ht="32.8" hidden="false" customHeight="false" outlineLevel="0" collapsed="false">
      <c r="A207" s="7" t="s">
        <v>1221</v>
      </c>
      <c r="B207" s="7" t="s">
        <v>1170</v>
      </c>
      <c r="C207" s="7" t="s">
        <v>1214</v>
      </c>
      <c r="D207" s="7" t="s">
        <v>1215</v>
      </c>
      <c r="E207" s="7" t="s">
        <v>55</v>
      </c>
      <c r="F207" s="7" t="n">
        <v>1</v>
      </c>
      <c r="G207" s="7" t="s">
        <v>1216</v>
      </c>
      <c r="H207" s="7" t="s">
        <v>60</v>
      </c>
      <c r="I207" s="7" t="s">
        <v>1222</v>
      </c>
      <c r="J207" s="7" t="s">
        <v>1218</v>
      </c>
      <c r="K207" s="7" t="s">
        <v>1223</v>
      </c>
      <c r="L207" s="7" t="s">
        <v>136</v>
      </c>
      <c r="M207" s="7" t="s">
        <v>1224</v>
      </c>
      <c r="N207" s="12"/>
      <c r="O207" s="12" t="s">
        <v>40</v>
      </c>
      <c r="P207" s="12"/>
      <c r="Q207" s="12"/>
      <c r="R207" s="13"/>
      <c r="S207" s="12"/>
      <c r="T207" s="12"/>
      <c r="U207" s="12"/>
    </row>
    <row r="208" customFormat="false" ht="32.8" hidden="false" customHeight="false" outlineLevel="0" collapsed="false">
      <c r="A208" s="7" t="s">
        <v>1225</v>
      </c>
      <c r="B208" s="7" t="s">
        <v>1170</v>
      </c>
      <c r="C208" s="7" t="s">
        <v>1214</v>
      </c>
      <c r="D208" s="7" t="s">
        <v>1215</v>
      </c>
      <c r="E208" s="7" t="s">
        <v>55</v>
      </c>
      <c r="F208" s="7" t="n">
        <v>2</v>
      </c>
      <c r="G208" s="7" t="s">
        <v>1226</v>
      </c>
      <c r="H208" s="7" t="s">
        <v>59</v>
      </c>
      <c r="I208" s="7" t="s">
        <v>1227</v>
      </c>
      <c r="J208" s="7" t="s">
        <v>1218</v>
      </c>
      <c r="K208" s="7" t="s">
        <v>1228</v>
      </c>
      <c r="L208" s="7" t="s">
        <v>136</v>
      </c>
      <c r="M208" s="7" t="s">
        <v>1229</v>
      </c>
      <c r="N208" s="12"/>
      <c r="O208" s="12" t="s">
        <v>40</v>
      </c>
      <c r="P208" s="12"/>
      <c r="Q208" s="12"/>
      <c r="R208" s="13"/>
      <c r="S208" s="12"/>
      <c r="T208" s="12"/>
      <c r="U208" s="12"/>
    </row>
    <row r="209" customFormat="false" ht="32.8" hidden="false" customHeight="false" outlineLevel="0" collapsed="false">
      <c r="A209" s="7" t="s">
        <v>1230</v>
      </c>
      <c r="B209" s="7" t="s">
        <v>1170</v>
      </c>
      <c r="C209" s="7" t="s">
        <v>1214</v>
      </c>
      <c r="D209" s="7" t="s">
        <v>1215</v>
      </c>
      <c r="E209" s="7" t="s">
        <v>55</v>
      </c>
      <c r="F209" s="7" t="n">
        <v>2</v>
      </c>
      <c r="G209" s="7" t="s">
        <v>1226</v>
      </c>
      <c r="H209" s="7" t="s">
        <v>60</v>
      </c>
      <c r="I209" s="7" t="s">
        <v>1231</v>
      </c>
      <c r="J209" s="7" t="s">
        <v>1218</v>
      </c>
      <c r="K209" s="7" t="s">
        <v>1232</v>
      </c>
      <c r="L209" s="7" t="s">
        <v>136</v>
      </c>
      <c r="M209" s="7" t="s">
        <v>1233</v>
      </c>
      <c r="N209" s="12"/>
      <c r="O209" s="12" t="s">
        <v>40</v>
      </c>
      <c r="P209" s="12"/>
      <c r="Q209" s="12"/>
      <c r="R209" s="13"/>
      <c r="S209" s="12"/>
      <c r="T209" s="12"/>
      <c r="U209" s="12"/>
    </row>
    <row r="210" customFormat="false" ht="32.8" hidden="false" customHeight="false" outlineLevel="0" collapsed="false">
      <c r="A210" s="7" t="s">
        <v>1234</v>
      </c>
      <c r="B210" s="7" t="s">
        <v>1170</v>
      </c>
      <c r="C210" s="7" t="s">
        <v>1235</v>
      </c>
      <c r="D210" s="7" t="s">
        <v>1236</v>
      </c>
      <c r="E210" s="7" t="s">
        <v>55</v>
      </c>
      <c r="F210" s="7" t="n">
        <v>1</v>
      </c>
      <c r="G210" s="7" t="s">
        <v>1237</v>
      </c>
      <c r="H210" s="7" t="s">
        <v>59</v>
      </c>
      <c r="I210" s="7" t="s">
        <v>1238</v>
      </c>
      <c r="J210" s="7" t="s">
        <v>1239</v>
      </c>
      <c r="K210" s="7" t="s">
        <v>1240</v>
      </c>
      <c r="L210" s="7" t="s">
        <v>1241</v>
      </c>
      <c r="M210" s="7" t="s">
        <v>1242</v>
      </c>
      <c r="N210" s="12"/>
      <c r="O210" s="12" t="s">
        <v>40</v>
      </c>
      <c r="P210" s="12"/>
      <c r="Q210" s="12"/>
      <c r="R210" s="13"/>
      <c r="S210" s="12"/>
      <c r="T210" s="12"/>
      <c r="U210" s="12"/>
    </row>
    <row r="211" customFormat="false" ht="32.8" hidden="false" customHeight="false" outlineLevel="0" collapsed="false">
      <c r="A211" s="7" t="s">
        <v>1243</v>
      </c>
      <c r="B211" s="7" t="s">
        <v>1170</v>
      </c>
      <c r="C211" s="7" t="s">
        <v>1235</v>
      </c>
      <c r="D211" s="7" t="s">
        <v>1236</v>
      </c>
      <c r="E211" s="7" t="s">
        <v>55</v>
      </c>
      <c r="F211" s="7" t="n">
        <v>1</v>
      </c>
      <c r="G211" s="7" t="s">
        <v>1237</v>
      </c>
      <c r="H211" s="7" t="s">
        <v>60</v>
      </c>
      <c r="I211" s="7" t="s">
        <v>1244</v>
      </c>
      <c r="J211" s="7" t="s">
        <v>1239</v>
      </c>
      <c r="K211" s="7" t="s">
        <v>1245</v>
      </c>
      <c r="L211" s="7" t="s">
        <v>136</v>
      </c>
      <c r="M211" s="7" t="s">
        <v>1246</v>
      </c>
      <c r="N211" s="12"/>
      <c r="O211" s="12" t="s">
        <v>40</v>
      </c>
      <c r="P211" s="12"/>
      <c r="Q211" s="12"/>
      <c r="R211" s="13"/>
      <c r="S211" s="12"/>
      <c r="T211" s="12"/>
      <c r="U211" s="12"/>
    </row>
    <row r="212" customFormat="false" ht="32.8" hidden="false" customHeight="false" outlineLevel="0" collapsed="false">
      <c r="A212" s="7" t="s">
        <v>1247</v>
      </c>
      <c r="B212" s="7" t="s">
        <v>1170</v>
      </c>
      <c r="C212" s="7" t="s">
        <v>1235</v>
      </c>
      <c r="D212" s="7" t="s">
        <v>1236</v>
      </c>
      <c r="E212" s="7" t="s">
        <v>55</v>
      </c>
      <c r="F212" s="7" t="n">
        <v>2</v>
      </c>
      <c r="G212" s="7" t="s">
        <v>1248</v>
      </c>
      <c r="H212" s="7" t="s">
        <v>59</v>
      </c>
      <c r="I212" s="7" t="s">
        <v>1249</v>
      </c>
      <c r="J212" s="7" t="s">
        <v>1239</v>
      </c>
      <c r="K212" s="7" t="s">
        <v>1250</v>
      </c>
      <c r="L212" s="7" t="s">
        <v>1251</v>
      </c>
      <c r="M212" s="7" t="s">
        <v>1252</v>
      </c>
      <c r="N212" s="12"/>
      <c r="O212" s="12" t="s">
        <v>40</v>
      </c>
      <c r="P212" s="12"/>
      <c r="Q212" s="12"/>
      <c r="R212" s="13"/>
      <c r="S212" s="12"/>
      <c r="T212" s="12"/>
      <c r="U212" s="12"/>
    </row>
    <row r="213" customFormat="false" ht="32.8" hidden="false" customHeight="false" outlineLevel="0" collapsed="false">
      <c r="A213" s="7" t="s">
        <v>1253</v>
      </c>
      <c r="B213" s="7" t="s">
        <v>1170</v>
      </c>
      <c r="C213" s="7" t="s">
        <v>1235</v>
      </c>
      <c r="D213" s="7" t="s">
        <v>1236</v>
      </c>
      <c r="E213" s="7" t="s">
        <v>55</v>
      </c>
      <c r="F213" s="7" t="n">
        <v>2</v>
      </c>
      <c r="G213" s="7" t="s">
        <v>1248</v>
      </c>
      <c r="H213" s="7" t="s">
        <v>60</v>
      </c>
      <c r="I213" s="7" t="s">
        <v>1254</v>
      </c>
      <c r="J213" s="7" t="s">
        <v>1239</v>
      </c>
      <c r="K213" s="7" t="s">
        <v>1255</v>
      </c>
      <c r="L213" s="7" t="s">
        <v>136</v>
      </c>
      <c r="M213" s="7" t="s">
        <v>1256</v>
      </c>
      <c r="N213" s="12"/>
      <c r="O213" s="12" t="s">
        <v>40</v>
      </c>
      <c r="P213" s="12"/>
      <c r="Q213" s="12"/>
      <c r="R213" s="13"/>
      <c r="S213" s="12"/>
      <c r="T213" s="12"/>
      <c r="U213" s="12"/>
    </row>
    <row r="214" customFormat="false" ht="32.8" hidden="false" customHeight="false" outlineLevel="0" collapsed="false">
      <c r="A214" s="7" t="s">
        <v>1257</v>
      </c>
      <c r="B214" s="7" t="s">
        <v>1170</v>
      </c>
      <c r="C214" s="7" t="s">
        <v>1235</v>
      </c>
      <c r="D214" s="7" t="s">
        <v>1236</v>
      </c>
      <c r="E214" s="7" t="s">
        <v>55</v>
      </c>
      <c r="F214" s="7" t="n">
        <v>3</v>
      </c>
      <c r="G214" s="7" t="s">
        <v>1258</v>
      </c>
      <c r="H214" s="7" t="s">
        <v>59</v>
      </c>
      <c r="I214" s="7" t="s">
        <v>1259</v>
      </c>
      <c r="J214" s="7" t="s">
        <v>1239</v>
      </c>
      <c r="K214" s="7" t="s">
        <v>1260</v>
      </c>
      <c r="L214" s="7" t="s">
        <v>136</v>
      </c>
      <c r="M214" s="7" t="s">
        <v>1261</v>
      </c>
      <c r="N214" s="12"/>
      <c r="O214" s="12" t="s">
        <v>40</v>
      </c>
      <c r="P214" s="12"/>
      <c r="Q214" s="12"/>
      <c r="R214" s="13"/>
      <c r="S214" s="12"/>
      <c r="T214" s="12"/>
      <c r="U214" s="12"/>
    </row>
    <row r="215" customFormat="false" ht="32.8" hidden="false" customHeight="false" outlineLevel="0" collapsed="false">
      <c r="A215" s="7" t="s">
        <v>1262</v>
      </c>
      <c r="B215" s="7" t="s">
        <v>1170</v>
      </c>
      <c r="C215" s="7" t="s">
        <v>1235</v>
      </c>
      <c r="D215" s="7" t="s">
        <v>1236</v>
      </c>
      <c r="E215" s="7" t="s">
        <v>55</v>
      </c>
      <c r="F215" s="7" t="n">
        <v>3</v>
      </c>
      <c r="G215" s="7" t="s">
        <v>1258</v>
      </c>
      <c r="H215" s="7" t="s">
        <v>60</v>
      </c>
      <c r="I215" s="7" t="s">
        <v>1263</v>
      </c>
      <c r="J215" s="7" t="s">
        <v>1239</v>
      </c>
      <c r="K215" s="7" t="s">
        <v>1264</v>
      </c>
      <c r="L215" s="7" t="s">
        <v>136</v>
      </c>
      <c r="M215" s="7" t="s">
        <v>1265</v>
      </c>
      <c r="N215" s="12"/>
      <c r="O215" s="12" t="s">
        <v>40</v>
      </c>
      <c r="P215" s="12"/>
      <c r="Q215" s="12"/>
      <c r="R215" s="13"/>
      <c r="S215" s="12"/>
      <c r="T215" s="12"/>
      <c r="U215" s="12"/>
    </row>
    <row r="216" customFormat="false" ht="32.8" hidden="false" customHeight="false" outlineLevel="0" collapsed="false">
      <c r="A216" s="7" t="s">
        <v>1266</v>
      </c>
      <c r="B216" s="7" t="s">
        <v>1170</v>
      </c>
      <c r="C216" s="7" t="s">
        <v>1267</v>
      </c>
      <c r="D216" s="7" t="s">
        <v>1268</v>
      </c>
      <c r="E216" s="7" t="s">
        <v>56</v>
      </c>
      <c r="F216" s="7" t="n">
        <v>1</v>
      </c>
      <c r="G216" s="7" t="s">
        <v>1269</v>
      </c>
      <c r="H216" s="7" t="s">
        <v>59</v>
      </c>
      <c r="I216" s="7" t="s">
        <v>1270</v>
      </c>
      <c r="J216" s="7" t="s">
        <v>1271</v>
      </c>
      <c r="K216" s="7" t="s">
        <v>1272</v>
      </c>
      <c r="L216" s="7" t="s">
        <v>1273</v>
      </c>
      <c r="M216" s="7" t="s">
        <v>1274</v>
      </c>
      <c r="N216" s="12"/>
      <c r="O216" s="12" t="s">
        <v>40</v>
      </c>
      <c r="P216" s="12"/>
      <c r="Q216" s="12"/>
      <c r="R216" s="13"/>
      <c r="S216" s="12"/>
      <c r="T216" s="12"/>
      <c r="U216" s="12"/>
    </row>
    <row r="217" customFormat="false" ht="32.8" hidden="false" customHeight="false" outlineLevel="0" collapsed="false">
      <c r="A217" s="7" t="s">
        <v>1275</v>
      </c>
      <c r="B217" s="7" t="s">
        <v>1170</v>
      </c>
      <c r="C217" s="7" t="s">
        <v>1267</v>
      </c>
      <c r="D217" s="7" t="s">
        <v>1268</v>
      </c>
      <c r="E217" s="7" t="s">
        <v>56</v>
      </c>
      <c r="F217" s="7" t="n">
        <v>1</v>
      </c>
      <c r="G217" s="7" t="s">
        <v>1269</v>
      </c>
      <c r="H217" s="7" t="s">
        <v>60</v>
      </c>
      <c r="I217" s="7" t="s">
        <v>1276</v>
      </c>
      <c r="J217" s="7" t="s">
        <v>1271</v>
      </c>
      <c r="K217" s="7" t="s">
        <v>1277</v>
      </c>
      <c r="L217" s="7" t="s">
        <v>136</v>
      </c>
      <c r="M217" s="7" t="s">
        <v>1278</v>
      </c>
      <c r="N217" s="12"/>
      <c r="O217" s="12" t="s">
        <v>40</v>
      </c>
      <c r="P217" s="12"/>
      <c r="Q217" s="12"/>
      <c r="R217" s="13"/>
      <c r="S217" s="12"/>
      <c r="T217" s="12"/>
      <c r="U217" s="12"/>
    </row>
    <row r="218" customFormat="false" ht="32.8" hidden="false" customHeight="false" outlineLevel="0" collapsed="false">
      <c r="A218" s="7" t="s">
        <v>1279</v>
      </c>
      <c r="B218" s="7" t="s">
        <v>1170</v>
      </c>
      <c r="C218" s="7" t="s">
        <v>1267</v>
      </c>
      <c r="D218" s="7" t="s">
        <v>1268</v>
      </c>
      <c r="E218" s="7" t="s">
        <v>56</v>
      </c>
      <c r="F218" s="7" t="n">
        <v>2</v>
      </c>
      <c r="G218" s="7" t="s">
        <v>1280</v>
      </c>
      <c r="H218" s="7" t="s">
        <v>59</v>
      </c>
      <c r="I218" s="7" t="s">
        <v>1281</v>
      </c>
      <c r="J218" s="7" t="s">
        <v>1271</v>
      </c>
      <c r="K218" s="7" t="s">
        <v>1282</v>
      </c>
      <c r="L218" s="7" t="s">
        <v>136</v>
      </c>
      <c r="M218" s="7" t="s">
        <v>1283</v>
      </c>
      <c r="N218" s="12"/>
      <c r="O218" s="12" t="s">
        <v>40</v>
      </c>
      <c r="P218" s="12"/>
      <c r="Q218" s="12"/>
      <c r="R218" s="13"/>
      <c r="S218" s="12"/>
      <c r="T218" s="12"/>
      <c r="U218" s="12"/>
    </row>
    <row r="219" customFormat="false" ht="32.8" hidden="false" customHeight="false" outlineLevel="0" collapsed="false">
      <c r="A219" s="7" t="s">
        <v>1284</v>
      </c>
      <c r="B219" s="7" t="s">
        <v>1170</v>
      </c>
      <c r="C219" s="7" t="s">
        <v>1267</v>
      </c>
      <c r="D219" s="7" t="s">
        <v>1268</v>
      </c>
      <c r="E219" s="7" t="s">
        <v>56</v>
      </c>
      <c r="F219" s="7" t="n">
        <v>2</v>
      </c>
      <c r="G219" s="7" t="s">
        <v>1280</v>
      </c>
      <c r="H219" s="7" t="s">
        <v>60</v>
      </c>
      <c r="I219" s="7" t="s">
        <v>1285</v>
      </c>
      <c r="J219" s="7" t="s">
        <v>1271</v>
      </c>
      <c r="K219" s="7" t="s">
        <v>1286</v>
      </c>
      <c r="L219" s="7" t="s">
        <v>136</v>
      </c>
      <c r="M219" s="7" t="s">
        <v>1287</v>
      </c>
      <c r="N219" s="12"/>
      <c r="O219" s="12" t="s">
        <v>40</v>
      </c>
      <c r="P219" s="12"/>
      <c r="Q219" s="12"/>
      <c r="R219" s="13"/>
      <c r="S219" s="12"/>
      <c r="T219" s="12"/>
      <c r="U219" s="12"/>
    </row>
    <row r="220" customFormat="false" ht="22.35" hidden="false" customHeight="false" outlineLevel="0" collapsed="false">
      <c r="A220" s="7" t="s">
        <v>1288</v>
      </c>
      <c r="B220" s="7" t="s">
        <v>1170</v>
      </c>
      <c r="C220" s="7" t="s">
        <v>1289</v>
      </c>
      <c r="D220" s="7" t="s">
        <v>1290</v>
      </c>
      <c r="E220" s="7" t="s">
        <v>57</v>
      </c>
      <c r="F220" s="7" t="n">
        <v>1</v>
      </c>
      <c r="G220" s="7" t="s">
        <v>1291</v>
      </c>
      <c r="H220" s="7" t="s">
        <v>59</v>
      </c>
      <c r="I220" s="7" t="s">
        <v>1292</v>
      </c>
      <c r="J220" s="7" t="s">
        <v>1293</v>
      </c>
      <c r="K220" s="7" t="s">
        <v>1294</v>
      </c>
      <c r="L220" s="7" t="s">
        <v>136</v>
      </c>
      <c r="M220" s="7" t="s">
        <v>1295</v>
      </c>
      <c r="N220" s="12"/>
      <c r="O220" s="12" t="s">
        <v>40</v>
      </c>
      <c r="P220" s="12"/>
      <c r="Q220" s="12"/>
      <c r="R220" s="13"/>
      <c r="S220" s="12"/>
      <c r="T220" s="12"/>
      <c r="U220" s="12"/>
    </row>
    <row r="221" customFormat="false" ht="22.35" hidden="false" customHeight="false" outlineLevel="0" collapsed="false">
      <c r="A221" s="7" t="s">
        <v>1296</v>
      </c>
      <c r="B221" s="7" t="s">
        <v>1170</v>
      </c>
      <c r="C221" s="7" t="s">
        <v>1289</v>
      </c>
      <c r="D221" s="7" t="s">
        <v>1290</v>
      </c>
      <c r="E221" s="7" t="s">
        <v>57</v>
      </c>
      <c r="F221" s="7" t="n">
        <v>1</v>
      </c>
      <c r="G221" s="7" t="s">
        <v>1291</v>
      </c>
      <c r="H221" s="7" t="s">
        <v>60</v>
      </c>
      <c r="I221" s="7" t="s">
        <v>1297</v>
      </c>
      <c r="J221" s="7" t="s">
        <v>1293</v>
      </c>
      <c r="K221" s="7" t="s">
        <v>1298</v>
      </c>
      <c r="L221" s="7" t="s">
        <v>136</v>
      </c>
      <c r="M221" s="7" t="s">
        <v>1299</v>
      </c>
      <c r="N221" s="12"/>
      <c r="O221" s="12" t="s">
        <v>40</v>
      </c>
      <c r="P221" s="12"/>
      <c r="Q221" s="12"/>
      <c r="R221" s="13"/>
      <c r="S221" s="12"/>
      <c r="T221" s="12"/>
      <c r="U221" s="12"/>
    </row>
    <row r="222" customFormat="false" ht="22.35" hidden="false" customHeight="false" outlineLevel="0" collapsed="false">
      <c r="A222" s="7" t="s">
        <v>1300</v>
      </c>
      <c r="B222" s="7" t="s">
        <v>1170</v>
      </c>
      <c r="C222" s="7" t="s">
        <v>1289</v>
      </c>
      <c r="D222" s="7" t="s">
        <v>1290</v>
      </c>
      <c r="E222" s="7" t="s">
        <v>57</v>
      </c>
      <c r="F222" s="7" t="n">
        <v>2</v>
      </c>
      <c r="G222" s="7" t="s">
        <v>1301</v>
      </c>
      <c r="H222" s="7" t="s">
        <v>59</v>
      </c>
      <c r="I222" s="7" t="s">
        <v>1302</v>
      </c>
      <c r="J222" s="7" t="s">
        <v>1293</v>
      </c>
      <c r="K222" s="7" t="s">
        <v>1303</v>
      </c>
      <c r="L222" s="7" t="s">
        <v>136</v>
      </c>
      <c r="M222" s="7" t="s">
        <v>1304</v>
      </c>
      <c r="N222" s="12"/>
      <c r="O222" s="12" t="s">
        <v>40</v>
      </c>
      <c r="P222" s="12"/>
      <c r="Q222" s="12"/>
      <c r="R222" s="13"/>
      <c r="S222" s="12"/>
      <c r="T222" s="12"/>
      <c r="U222" s="12"/>
    </row>
    <row r="223" customFormat="false" ht="22.35" hidden="false" customHeight="false" outlineLevel="0" collapsed="false">
      <c r="A223" s="7" t="s">
        <v>1305</v>
      </c>
      <c r="B223" s="7" t="s">
        <v>1170</v>
      </c>
      <c r="C223" s="7" t="s">
        <v>1289</v>
      </c>
      <c r="D223" s="7" t="s">
        <v>1290</v>
      </c>
      <c r="E223" s="7" t="s">
        <v>57</v>
      </c>
      <c r="F223" s="7" t="n">
        <v>2</v>
      </c>
      <c r="G223" s="7" t="s">
        <v>1301</v>
      </c>
      <c r="H223" s="7" t="s">
        <v>60</v>
      </c>
      <c r="I223" s="7" t="s">
        <v>1306</v>
      </c>
      <c r="J223" s="7" t="s">
        <v>1293</v>
      </c>
      <c r="K223" s="7" t="s">
        <v>1307</v>
      </c>
      <c r="L223" s="7" t="s">
        <v>136</v>
      </c>
      <c r="M223" s="7" t="s">
        <v>1308</v>
      </c>
      <c r="N223" s="12"/>
      <c r="O223" s="12" t="s">
        <v>40</v>
      </c>
      <c r="P223" s="12"/>
      <c r="Q223" s="12"/>
      <c r="R223" s="13"/>
      <c r="S223" s="12"/>
      <c r="T223" s="12"/>
      <c r="U223" s="12"/>
    </row>
    <row r="224" customFormat="false" ht="32.8" hidden="false" customHeight="false" outlineLevel="0" collapsed="false">
      <c r="A224" s="7" t="s">
        <v>1309</v>
      </c>
      <c r="B224" s="7" t="s">
        <v>1310</v>
      </c>
      <c r="C224" s="7" t="s">
        <v>1311</v>
      </c>
      <c r="D224" s="7" t="s">
        <v>1312</v>
      </c>
      <c r="E224" s="7" t="s">
        <v>56</v>
      </c>
      <c r="F224" s="7" t="n">
        <v>1</v>
      </c>
      <c r="G224" s="7" t="s">
        <v>1313</v>
      </c>
      <c r="H224" s="7" t="s">
        <v>59</v>
      </c>
      <c r="I224" s="7" t="s">
        <v>1314</v>
      </c>
      <c r="J224" s="7" t="s">
        <v>1315</v>
      </c>
      <c r="K224" s="7" t="s">
        <v>1316</v>
      </c>
      <c r="L224" s="7" t="s">
        <v>136</v>
      </c>
      <c r="M224" s="7" t="s">
        <v>1317</v>
      </c>
      <c r="N224" s="12"/>
      <c r="O224" s="12" t="s">
        <v>40</v>
      </c>
      <c r="P224" s="12"/>
      <c r="Q224" s="12"/>
      <c r="R224" s="13"/>
      <c r="S224" s="12"/>
      <c r="T224" s="12"/>
      <c r="U224" s="12"/>
    </row>
    <row r="225" customFormat="false" ht="22.35" hidden="false" customHeight="false" outlineLevel="0" collapsed="false">
      <c r="A225" s="7" t="s">
        <v>1318</v>
      </c>
      <c r="B225" s="7" t="s">
        <v>1310</v>
      </c>
      <c r="C225" s="7" t="s">
        <v>1311</v>
      </c>
      <c r="D225" s="7" t="s">
        <v>1312</v>
      </c>
      <c r="E225" s="7" t="s">
        <v>56</v>
      </c>
      <c r="F225" s="7" t="n">
        <v>1</v>
      </c>
      <c r="G225" s="7" t="s">
        <v>1313</v>
      </c>
      <c r="H225" s="7" t="s">
        <v>60</v>
      </c>
      <c r="I225" s="7" t="s">
        <v>1319</v>
      </c>
      <c r="J225" s="7" t="s">
        <v>1315</v>
      </c>
      <c r="K225" s="7" t="s">
        <v>1320</v>
      </c>
      <c r="L225" s="7" t="s">
        <v>136</v>
      </c>
      <c r="M225" s="7" t="s">
        <v>1321</v>
      </c>
      <c r="N225" s="12"/>
      <c r="O225" s="12" t="s">
        <v>40</v>
      </c>
      <c r="P225" s="12"/>
      <c r="Q225" s="12"/>
      <c r="R225" s="13"/>
      <c r="S225" s="12"/>
      <c r="T225" s="12"/>
      <c r="U225" s="12"/>
    </row>
    <row r="226" customFormat="false" ht="22.35" hidden="false" customHeight="false" outlineLevel="0" collapsed="false">
      <c r="A226" s="7" t="s">
        <v>1322</v>
      </c>
      <c r="B226" s="7" t="s">
        <v>1310</v>
      </c>
      <c r="C226" s="7" t="s">
        <v>1311</v>
      </c>
      <c r="D226" s="7" t="s">
        <v>1312</v>
      </c>
      <c r="E226" s="7" t="s">
        <v>56</v>
      </c>
      <c r="F226" s="7" t="n">
        <v>2</v>
      </c>
      <c r="G226" s="7" t="s">
        <v>1323</v>
      </c>
      <c r="H226" s="7" t="s">
        <v>59</v>
      </c>
      <c r="I226" s="7" t="s">
        <v>1324</v>
      </c>
      <c r="J226" s="7" t="s">
        <v>1315</v>
      </c>
      <c r="K226" s="7" t="s">
        <v>1325</v>
      </c>
      <c r="L226" s="7" t="s">
        <v>1326</v>
      </c>
      <c r="M226" s="7" t="s">
        <v>1327</v>
      </c>
      <c r="N226" s="12"/>
      <c r="O226" s="12" t="s">
        <v>40</v>
      </c>
      <c r="P226" s="12"/>
      <c r="Q226" s="12"/>
      <c r="R226" s="13"/>
      <c r="S226" s="12"/>
      <c r="T226" s="12"/>
      <c r="U226" s="12"/>
    </row>
    <row r="227" customFormat="false" ht="22.35" hidden="false" customHeight="false" outlineLevel="0" collapsed="false">
      <c r="A227" s="7" t="s">
        <v>1328</v>
      </c>
      <c r="B227" s="7" t="s">
        <v>1310</v>
      </c>
      <c r="C227" s="7" t="s">
        <v>1311</v>
      </c>
      <c r="D227" s="7" t="s">
        <v>1312</v>
      </c>
      <c r="E227" s="7" t="s">
        <v>56</v>
      </c>
      <c r="F227" s="7" t="n">
        <v>2</v>
      </c>
      <c r="G227" s="7" t="s">
        <v>1323</v>
      </c>
      <c r="H227" s="7" t="s">
        <v>60</v>
      </c>
      <c r="I227" s="7" t="s">
        <v>1329</v>
      </c>
      <c r="J227" s="7" t="s">
        <v>1315</v>
      </c>
      <c r="K227" s="7" t="s">
        <v>1330</v>
      </c>
      <c r="L227" s="7" t="s">
        <v>136</v>
      </c>
      <c r="M227" s="7" t="s">
        <v>1331</v>
      </c>
      <c r="N227" s="12"/>
      <c r="O227" s="12" t="s">
        <v>40</v>
      </c>
      <c r="P227" s="12"/>
      <c r="Q227" s="12"/>
      <c r="R227" s="13"/>
      <c r="S227" s="12"/>
      <c r="T227" s="12"/>
      <c r="U227" s="12"/>
    </row>
    <row r="228" customFormat="false" ht="22.35" hidden="false" customHeight="false" outlineLevel="0" collapsed="false">
      <c r="A228" s="7" t="s">
        <v>1332</v>
      </c>
      <c r="B228" s="7" t="s">
        <v>1310</v>
      </c>
      <c r="C228" s="7" t="s">
        <v>1311</v>
      </c>
      <c r="D228" s="7" t="s">
        <v>1312</v>
      </c>
      <c r="E228" s="7" t="s">
        <v>56</v>
      </c>
      <c r="F228" s="7" t="n">
        <v>3</v>
      </c>
      <c r="G228" s="7" t="s">
        <v>1333</v>
      </c>
      <c r="H228" s="7" t="s">
        <v>59</v>
      </c>
      <c r="I228" s="7" t="s">
        <v>1334</v>
      </c>
      <c r="J228" s="7" t="s">
        <v>1315</v>
      </c>
      <c r="K228" s="7" t="s">
        <v>1335</v>
      </c>
      <c r="L228" s="7" t="s">
        <v>136</v>
      </c>
      <c r="M228" s="7" t="s">
        <v>842</v>
      </c>
      <c r="N228" s="12"/>
      <c r="O228" s="12" t="s">
        <v>40</v>
      </c>
      <c r="P228" s="12"/>
      <c r="Q228" s="12"/>
      <c r="R228" s="13"/>
      <c r="S228" s="12"/>
      <c r="T228" s="12"/>
      <c r="U228" s="12"/>
    </row>
    <row r="229" customFormat="false" ht="32.8" hidden="false" customHeight="false" outlineLevel="0" collapsed="false">
      <c r="A229" s="7" t="s">
        <v>1336</v>
      </c>
      <c r="B229" s="7" t="s">
        <v>1310</v>
      </c>
      <c r="C229" s="7" t="s">
        <v>1311</v>
      </c>
      <c r="D229" s="7" t="s">
        <v>1312</v>
      </c>
      <c r="E229" s="7" t="s">
        <v>56</v>
      </c>
      <c r="F229" s="7" t="n">
        <v>3</v>
      </c>
      <c r="G229" s="7" t="s">
        <v>1333</v>
      </c>
      <c r="H229" s="7" t="s">
        <v>60</v>
      </c>
      <c r="I229" s="7" t="s">
        <v>1337</v>
      </c>
      <c r="J229" s="7" t="s">
        <v>1315</v>
      </c>
      <c r="K229" s="7" t="s">
        <v>1338</v>
      </c>
      <c r="L229" s="7" t="s">
        <v>136</v>
      </c>
      <c r="M229" s="7" t="s">
        <v>1339</v>
      </c>
      <c r="N229" s="12"/>
      <c r="O229" s="12" t="s">
        <v>40</v>
      </c>
      <c r="P229" s="12"/>
      <c r="Q229" s="12"/>
      <c r="R229" s="13"/>
      <c r="S229" s="12"/>
      <c r="T229" s="12"/>
      <c r="U229" s="12"/>
    </row>
    <row r="230" customFormat="false" ht="32.8" hidden="false" customHeight="false" outlineLevel="0" collapsed="false">
      <c r="A230" s="7" t="s">
        <v>1340</v>
      </c>
      <c r="B230" s="7" t="s">
        <v>1310</v>
      </c>
      <c r="C230" s="7" t="s">
        <v>1341</v>
      </c>
      <c r="D230" s="7" t="s">
        <v>1342</v>
      </c>
      <c r="E230" s="7" t="s">
        <v>56</v>
      </c>
      <c r="F230" s="7" t="n">
        <v>1</v>
      </c>
      <c r="G230" s="7" t="s">
        <v>1343</v>
      </c>
      <c r="H230" s="7" t="s">
        <v>59</v>
      </c>
      <c r="I230" s="7" t="s">
        <v>1344</v>
      </c>
      <c r="J230" s="7" t="s">
        <v>1345</v>
      </c>
      <c r="K230" s="7" t="s">
        <v>1346</v>
      </c>
      <c r="L230" s="7" t="s">
        <v>136</v>
      </c>
      <c r="M230" s="7" t="s">
        <v>1347</v>
      </c>
      <c r="N230" s="12"/>
      <c r="O230" s="12" t="s">
        <v>40</v>
      </c>
      <c r="P230" s="12"/>
      <c r="Q230" s="12"/>
      <c r="R230" s="13"/>
      <c r="S230" s="12"/>
      <c r="T230" s="12"/>
      <c r="U230" s="12"/>
    </row>
    <row r="231" customFormat="false" ht="22.35" hidden="false" customHeight="false" outlineLevel="0" collapsed="false">
      <c r="A231" s="7" t="s">
        <v>1348</v>
      </c>
      <c r="B231" s="7" t="s">
        <v>1310</v>
      </c>
      <c r="C231" s="7" t="s">
        <v>1341</v>
      </c>
      <c r="D231" s="7" t="s">
        <v>1342</v>
      </c>
      <c r="E231" s="7" t="s">
        <v>56</v>
      </c>
      <c r="F231" s="7" t="n">
        <v>1</v>
      </c>
      <c r="G231" s="7" t="s">
        <v>1343</v>
      </c>
      <c r="H231" s="7" t="s">
        <v>60</v>
      </c>
      <c r="I231" s="7" t="s">
        <v>1349</v>
      </c>
      <c r="J231" s="7" t="s">
        <v>1345</v>
      </c>
      <c r="K231" s="7" t="s">
        <v>1350</v>
      </c>
      <c r="L231" s="7" t="s">
        <v>136</v>
      </c>
      <c r="M231" s="7" t="s">
        <v>1351</v>
      </c>
      <c r="N231" s="12"/>
      <c r="O231" s="12" t="s">
        <v>40</v>
      </c>
      <c r="P231" s="12"/>
      <c r="Q231" s="12"/>
      <c r="R231" s="13"/>
      <c r="S231" s="12"/>
      <c r="T231" s="12"/>
      <c r="U231" s="12"/>
    </row>
    <row r="232" customFormat="false" ht="22.35" hidden="false" customHeight="false" outlineLevel="0" collapsed="false">
      <c r="A232" s="7" t="s">
        <v>1352</v>
      </c>
      <c r="B232" s="7" t="s">
        <v>1310</v>
      </c>
      <c r="C232" s="7" t="s">
        <v>1341</v>
      </c>
      <c r="D232" s="7" t="s">
        <v>1342</v>
      </c>
      <c r="E232" s="7" t="s">
        <v>56</v>
      </c>
      <c r="F232" s="7" t="n">
        <v>2</v>
      </c>
      <c r="G232" s="7" t="s">
        <v>1353</v>
      </c>
      <c r="H232" s="7" t="s">
        <v>59</v>
      </c>
      <c r="I232" s="7" t="s">
        <v>1354</v>
      </c>
      <c r="J232" s="7" t="s">
        <v>1345</v>
      </c>
      <c r="K232" s="7" t="s">
        <v>1355</v>
      </c>
      <c r="L232" s="7" t="s">
        <v>136</v>
      </c>
      <c r="M232" s="7" t="s">
        <v>1356</v>
      </c>
      <c r="N232" s="12"/>
      <c r="O232" s="12" t="s">
        <v>40</v>
      </c>
      <c r="P232" s="12"/>
      <c r="Q232" s="12"/>
      <c r="R232" s="13"/>
      <c r="S232" s="12"/>
      <c r="T232" s="12"/>
      <c r="U232" s="12"/>
    </row>
    <row r="233" customFormat="false" ht="22.35" hidden="false" customHeight="false" outlineLevel="0" collapsed="false">
      <c r="A233" s="7" t="s">
        <v>1357</v>
      </c>
      <c r="B233" s="7" t="s">
        <v>1310</v>
      </c>
      <c r="C233" s="7" t="s">
        <v>1341</v>
      </c>
      <c r="D233" s="7" t="s">
        <v>1342</v>
      </c>
      <c r="E233" s="7" t="s">
        <v>56</v>
      </c>
      <c r="F233" s="7" t="n">
        <v>2</v>
      </c>
      <c r="G233" s="7" t="s">
        <v>1353</v>
      </c>
      <c r="H233" s="7" t="s">
        <v>60</v>
      </c>
      <c r="I233" s="7" t="s">
        <v>1358</v>
      </c>
      <c r="J233" s="7" t="s">
        <v>1345</v>
      </c>
      <c r="K233" s="7" t="s">
        <v>1359</v>
      </c>
      <c r="L233" s="7" t="s">
        <v>136</v>
      </c>
      <c r="M233" s="7" t="s">
        <v>1360</v>
      </c>
      <c r="N233" s="12"/>
      <c r="O233" s="12" t="s">
        <v>40</v>
      </c>
      <c r="P233" s="12"/>
      <c r="Q233" s="12"/>
      <c r="R233" s="13"/>
      <c r="S233" s="12"/>
      <c r="T233" s="12"/>
      <c r="U233" s="12"/>
    </row>
    <row r="234" customFormat="false" ht="22.35" hidden="false" customHeight="false" outlineLevel="0" collapsed="false">
      <c r="A234" s="7" t="s">
        <v>1361</v>
      </c>
      <c r="B234" s="7" t="s">
        <v>1310</v>
      </c>
      <c r="C234" s="7" t="s">
        <v>1362</v>
      </c>
      <c r="D234" s="7" t="s">
        <v>1363</v>
      </c>
      <c r="E234" s="7" t="s">
        <v>56</v>
      </c>
      <c r="F234" s="7" t="n">
        <v>1</v>
      </c>
      <c r="G234" s="7" t="s">
        <v>1364</v>
      </c>
      <c r="H234" s="7" t="s">
        <v>59</v>
      </c>
      <c r="I234" s="7" t="s">
        <v>1365</v>
      </c>
      <c r="J234" s="7" t="s">
        <v>1366</v>
      </c>
      <c r="K234" s="7" t="s">
        <v>1367</v>
      </c>
      <c r="L234" s="7" t="s">
        <v>1368</v>
      </c>
      <c r="M234" s="7" t="s">
        <v>1369</v>
      </c>
      <c r="N234" s="12"/>
      <c r="O234" s="12" t="s">
        <v>40</v>
      </c>
      <c r="P234" s="12"/>
      <c r="Q234" s="12"/>
      <c r="R234" s="13"/>
      <c r="S234" s="12"/>
      <c r="T234" s="12"/>
      <c r="U234" s="12"/>
    </row>
    <row r="235" customFormat="false" ht="22.35" hidden="false" customHeight="false" outlineLevel="0" collapsed="false">
      <c r="A235" s="7" t="s">
        <v>1370</v>
      </c>
      <c r="B235" s="7" t="s">
        <v>1310</v>
      </c>
      <c r="C235" s="7" t="s">
        <v>1362</v>
      </c>
      <c r="D235" s="7" t="s">
        <v>1363</v>
      </c>
      <c r="E235" s="7" t="s">
        <v>56</v>
      </c>
      <c r="F235" s="7" t="n">
        <v>1</v>
      </c>
      <c r="G235" s="7" t="s">
        <v>1364</v>
      </c>
      <c r="H235" s="7" t="s">
        <v>60</v>
      </c>
      <c r="I235" s="7" t="s">
        <v>1371</v>
      </c>
      <c r="J235" s="7" t="s">
        <v>1366</v>
      </c>
      <c r="K235" s="7" t="s">
        <v>1372</v>
      </c>
      <c r="L235" s="7" t="s">
        <v>136</v>
      </c>
      <c r="M235" s="7" t="s">
        <v>1373</v>
      </c>
      <c r="N235" s="12"/>
      <c r="O235" s="12" t="s">
        <v>40</v>
      </c>
      <c r="P235" s="12"/>
      <c r="Q235" s="12"/>
      <c r="R235" s="13"/>
      <c r="S235" s="12"/>
      <c r="T235" s="12"/>
      <c r="U235" s="12"/>
    </row>
    <row r="236" customFormat="false" ht="22.35" hidden="false" customHeight="false" outlineLevel="0" collapsed="false">
      <c r="A236" s="7" t="s">
        <v>1374</v>
      </c>
      <c r="B236" s="7" t="s">
        <v>1310</v>
      </c>
      <c r="C236" s="7" t="s">
        <v>1362</v>
      </c>
      <c r="D236" s="7" t="s">
        <v>1363</v>
      </c>
      <c r="E236" s="7" t="s">
        <v>56</v>
      </c>
      <c r="F236" s="7" t="n">
        <v>2</v>
      </c>
      <c r="G236" s="7" t="s">
        <v>1375</v>
      </c>
      <c r="H236" s="7" t="s">
        <v>59</v>
      </c>
      <c r="I236" s="7" t="s">
        <v>1376</v>
      </c>
      <c r="J236" s="7" t="s">
        <v>1366</v>
      </c>
      <c r="K236" s="7" t="s">
        <v>1377</v>
      </c>
      <c r="L236" s="7" t="s">
        <v>136</v>
      </c>
      <c r="M236" s="7" t="s">
        <v>1378</v>
      </c>
      <c r="N236" s="12"/>
      <c r="O236" s="12" t="s">
        <v>40</v>
      </c>
      <c r="P236" s="12"/>
      <c r="Q236" s="12"/>
      <c r="R236" s="13"/>
      <c r="S236" s="12"/>
      <c r="T236" s="12"/>
      <c r="U236" s="12"/>
    </row>
    <row r="237" customFormat="false" ht="22.35" hidden="false" customHeight="false" outlineLevel="0" collapsed="false">
      <c r="A237" s="7" t="s">
        <v>1379</v>
      </c>
      <c r="B237" s="7" t="s">
        <v>1310</v>
      </c>
      <c r="C237" s="7" t="s">
        <v>1362</v>
      </c>
      <c r="D237" s="7" t="s">
        <v>1363</v>
      </c>
      <c r="E237" s="7" t="s">
        <v>56</v>
      </c>
      <c r="F237" s="7" t="n">
        <v>2</v>
      </c>
      <c r="G237" s="7" t="s">
        <v>1375</v>
      </c>
      <c r="H237" s="7" t="s">
        <v>60</v>
      </c>
      <c r="I237" s="7" t="s">
        <v>1380</v>
      </c>
      <c r="J237" s="7" t="s">
        <v>1366</v>
      </c>
      <c r="K237" s="7" t="s">
        <v>1381</v>
      </c>
      <c r="L237" s="7" t="s">
        <v>136</v>
      </c>
      <c r="M237" s="7" t="s">
        <v>1382</v>
      </c>
      <c r="N237" s="12"/>
      <c r="O237" s="12" t="s">
        <v>40</v>
      </c>
      <c r="P237" s="12"/>
      <c r="Q237" s="12"/>
      <c r="R237" s="13"/>
      <c r="S237" s="12"/>
      <c r="T237" s="12"/>
      <c r="U237" s="12"/>
    </row>
    <row r="238" customFormat="false" ht="22.35" hidden="false" customHeight="false" outlineLevel="0" collapsed="false">
      <c r="A238" s="7" t="s">
        <v>1383</v>
      </c>
      <c r="B238" s="7" t="s">
        <v>1310</v>
      </c>
      <c r="C238" s="7" t="s">
        <v>1384</v>
      </c>
      <c r="D238" s="7" t="s">
        <v>1385</v>
      </c>
      <c r="E238" s="7" t="s">
        <v>56</v>
      </c>
      <c r="F238" s="7" t="n">
        <v>1</v>
      </c>
      <c r="G238" s="7" t="s">
        <v>1386</v>
      </c>
      <c r="H238" s="7" t="s">
        <v>59</v>
      </c>
      <c r="I238" s="7" t="s">
        <v>1387</v>
      </c>
      <c r="J238" s="7" t="s">
        <v>1388</v>
      </c>
      <c r="K238" s="7" t="s">
        <v>1389</v>
      </c>
      <c r="L238" s="7" t="s">
        <v>136</v>
      </c>
      <c r="M238" s="7" t="s">
        <v>1390</v>
      </c>
      <c r="N238" s="12"/>
      <c r="O238" s="12" t="s">
        <v>40</v>
      </c>
      <c r="P238" s="12"/>
      <c r="Q238" s="12"/>
      <c r="R238" s="13"/>
      <c r="S238" s="12"/>
      <c r="T238" s="12"/>
      <c r="U238" s="12"/>
    </row>
    <row r="239" customFormat="false" ht="22.35" hidden="false" customHeight="false" outlineLevel="0" collapsed="false">
      <c r="A239" s="7" t="s">
        <v>1391</v>
      </c>
      <c r="B239" s="7" t="s">
        <v>1310</v>
      </c>
      <c r="C239" s="7" t="s">
        <v>1384</v>
      </c>
      <c r="D239" s="7" t="s">
        <v>1385</v>
      </c>
      <c r="E239" s="7" t="s">
        <v>56</v>
      </c>
      <c r="F239" s="7" t="n">
        <v>1</v>
      </c>
      <c r="G239" s="7" t="s">
        <v>1386</v>
      </c>
      <c r="H239" s="7" t="s">
        <v>60</v>
      </c>
      <c r="I239" s="7" t="s">
        <v>1392</v>
      </c>
      <c r="J239" s="7" t="s">
        <v>1388</v>
      </c>
      <c r="K239" s="7" t="s">
        <v>1393</v>
      </c>
      <c r="L239" s="7" t="s">
        <v>136</v>
      </c>
      <c r="M239" s="7" t="s">
        <v>1394</v>
      </c>
      <c r="N239" s="12"/>
      <c r="O239" s="12" t="s">
        <v>40</v>
      </c>
      <c r="P239" s="12"/>
      <c r="Q239" s="12"/>
      <c r="R239" s="13"/>
      <c r="S239" s="12"/>
      <c r="T239" s="12"/>
      <c r="U239" s="12"/>
    </row>
    <row r="240" customFormat="false" ht="22.35" hidden="false" customHeight="false" outlineLevel="0" collapsed="false">
      <c r="A240" s="7" t="s">
        <v>1395</v>
      </c>
      <c r="B240" s="7" t="s">
        <v>1310</v>
      </c>
      <c r="C240" s="7" t="s">
        <v>1384</v>
      </c>
      <c r="D240" s="7" t="s">
        <v>1385</v>
      </c>
      <c r="E240" s="7" t="s">
        <v>56</v>
      </c>
      <c r="F240" s="7" t="n">
        <v>2</v>
      </c>
      <c r="G240" s="7" t="s">
        <v>1396</v>
      </c>
      <c r="H240" s="7" t="s">
        <v>59</v>
      </c>
      <c r="I240" s="7" t="s">
        <v>1397</v>
      </c>
      <c r="J240" s="7" t="s">
        <v>1388</v>
      </c>
      <c r="K240" s="7" t="s">
        <v>1398</v>
      </c>
      <c r="L240" s="7" t="s">
        <v>136</v>
      </c>
      <c r="M240" s="7" t="s">
        <v>1399</v>
      </c>
      <c r="N240" s="12"/>
      <c r="O240" s="12" t="s">
        <v>40</v>
      </c>
      <c r="P240" s="12"/>
      <c r="Q240" s="12"/>
      <c r="R240" s="13"/>
      <c r="S240" s="12"/>
      <c r="T240" s="12"/>
      <c r="U240" s="12"/>
    </row>
    <row r="241" customFormat="false" ht="22.35" hidden="false" customHeight="false" outlineLevel="0" collapsed="false">
      <c r="A241" s="7" t="s">
        <v>1400</v>
      </c>
      <c r="B241" s="7" t="s">
        <v>1310</v>
      </c>
      <c r="C241" s="7" t="s">
        <v>1384</v>
      </c>
      <c r="D241" s="7" t="s">
        <v>1385</v>
      </c>
      <c r="E241" s="7" t="s">
        <v>56</v>
      </c>
      <c r="F241" s="7" t="n">
        <v>2</v>
      </c>
      <c r="G241" s="7" t="s">
        <v>1396</v>
      </c>
      <c r="H241" s="7" t="s">
        <v>60</v>
      </c>
      <c r="I241" s="7" t="s">
        <v>1401</v>
      </c>
      <c r="J241" s="7" t="s">
        <v>1388</v>
      </c>
      <c r="K241" s="7" t="s">
        <v>1402</v>
      </c>
      <c r="L241" s="7" t="s">
        <v>136</v>
      </c>
      <c r="M241" s="7" t="s">
        <v>1403</v>
      </c>
      <c r="N241" s="12"/>
      <c r="O241" s="12" t="s">
        <v>40</v>
      </c>
      <c r="P241" s="12"/>
      <c r="Q241" s="12"/>
      <c r="R241" s="13"/>
      <c r="S241" s="12"/>
      <c r="T241" s="12"/>
      <c r="U241" s="12"/>
    </row>
    <row r="242" customFormat="false" ht="22.35" hidden="false" customHeight="false" outlineLevel="0" collapsed="false">
      <c r="A242" s="7" t="s">
        <v>1404</v>
      </c>
      <c r="B242" s="7" t="s">
        <v>1310</v>
      </c>
      <c r="C242" s="7" t="s">
        <v>1384</v>
      </c>
      <c r="D242" s="7" t="s">
        <v>1385</v>
      </c>
      <c r="E242" s="7" t="s">
        <v>56</v>
      </c>
      <c r="F242" s="7" t="n">
        <v>3</v>
      </c>
      <c r="G242" s="7" t="s">
        <v>1405</v>
      </c>
      <c r="H242" s="7" t="s">
        <v>59</v>
      </c>
      <c r="I242" s="7" t="s">
        <v>1406</v>
      </c>
      <c r="J242" s="7" t="s">
        <v>1388</v>
      </c>
      <c r="K242" s="7" t="s">
        <v>1407</v>
      </c>
      <c r="L242" s="7" t="s">
        <v>136</v>
      </c>
      <c r="M242" s="7" t="s">
        <v>1408</v>
      </c>
      <c r="N242" s="12"/>
      <c r="O242" s="12" t="s">
        <v>40</v>
      </c>
      <c r="P242" s="12"/>
      <c r="Q242" s="12"/>
      <c r="R242" s="13"/>
      <c r="S242" s="12"/>
      <c r="T242" s="12"/>
      <c r="U242" s="12"/>
    </row>
    <row r="243" customFormat="false" ht="22.35" hidden="false" customHeight="false" outlineLevel="0" collapsed="false">
      <c r="A243" s="7" t="s">
        <v>1409</v>
      </c>
      <c r="B243" s="7" t="s">
        <v>1310</v>
      </c>
      <c r="C243" s="7" t="s">
        <v>1384</v>
      </c>
      <c r="D243" s="7" t="s">
        <v>1385</v>
      </c>
      <c r="E243" s="7" t="s">
        <v>56</v>
      </c>
      <c r="F243" s="7" t="n">
        <v>3</v>
      </c>
      <c r="G243" s="7" t="s">
        <v>1405</v>
      </c>
      <c r="H243" s="7" t="s">
        <v>60</v>
      </c>
      <c r="I243" s="7" t="s">
        <v>1410</v>
      </c>
      <c r="J243" s="7" t="s">
        <v>1388</v>
      </c>
      <c r="K243" s="7" t="s">
        <v>871</v>
      </c>
      <c r="L243" s="7" t="s">
        <v>136</v>
      </c>
      <c r="M243" s="7" t="s">
        <v>1411</v>
      </c>
      <c r="N243" s="12"/>
      <c r="O243" s="12" t="s">
        <v>40</v>
      </c>
      <c r="P243" s="12"/>
      <c r="Q243" s="12"/>
      <c r="R243" s="13"/>
      <c r="S243" s="12"/>
      <c r="T243" s="12"/>
      <c r="U243" s="12"/>
    </row>
    <row r="244" customFormat="false" ht="22.35" hidden="false" customHeight="false" outlineLevel="0" collapsed="false">
      <c r="A244" s="7" t="s">
        <v>1412</v>
      </c>
      <c r="B244" s="7" t="s">
        <v>1413</v>
      </c>
      <c r="C244" s="7" t="s">
        <v>1414</v>
      </c>
      <c r="D244" s="7" t="s">
        <v>1415</v>
      </c>
      <c r="E244" s="7" t="s">
        <v>56</v>
      </c>
      <c r="F244" s="7" t="n">
        <v>1</v>
      </c>
      <c r="G244" s="7" t="s">
        <v>1416</v>
      </c>
      <c r="H244" s="7" t="s">
        <v>59</v>
      </c>
      <c r="I244" s="7" t="s">
        <v>1417</v>
      </c>
      <c r="J244" s="7" t="s">
        <v>1418</v>
      </c>
      <c r="K244" s="7" t="s">
        <v>1419</v>
      </c>
      <c r="L244" s="7" t="s">
        <v>136</v>
      </c>
      <c r="M244" s="7" t="s">
        <v>1420</v>
      </c>
      <c r="N244" s="12"/>
      <c r="O244" s="12" t="s">
        <v>40</v>
      </c>
      <c r="P244" s="12"/>
      <c r="Q244" s="12"/>
      <c r="R244" s="13"/>
      <c r="S244" s="12"/>
      <c r="T244" s="12"/>
      <c r="U244" s="12"/>
    </row>
    <row r="245" customFormat="false" ht="22.35" hidden="false" customHeight="false" outlineLevel="0" collapsed="false">
      <c r="A245" s="7" t="s">
        <v>1421</v>
      </c>
      <c r="B245" s="7" t="s">
        <v>1413</v>
      </c>
      <c r="C245" s="7" t="s">
        <v>1414</v>
      </c>
      <c r="D245" s="7" t="s">
        <v>1415</v>
      </c>
      <c r="E245" s="7" t="s">
        <v>56</v>
      </c>
      <c r="F245" s="7" t="n">
        <v>1</v>
      </c>
      <c r="G245" s="7" t="s">
        <v>1416</v>
      </c>
      <c r="H245" s="7" t="s">
        <v>60</v>
      </c>
      <c r="I245" s="7" t="s">
        <v>1422</v>
      </c>
      <c r="J245" s="7" t="s">
        <v>1418</v>
      </c>
      <c r="K245" s="7" t="s">
        <v>1423</v>
      </c>
      <c r="L245" s="7" t="s">
        <v>136</v>
      </c>
      <c r="M245" s="7" t="s">
        <v>1424</v>
      </c>
      <c r="N245" s="12"/>
      <c r="O245" s="12" t="s">
        <v>40</v>
      </c>
      <c r="P245" s="12"/>
      <c r="Q245" s="12"/>
      <c r="R245" s="13"/>
      <c r="S245" s="12"/>
      <c r="T245" s="12"/>
      <c r="U245" s="12"/>
    </row>
    <row r="246" customFormat="false" ht="22.35" hidden="false" customHeight="false" outlineLevel="0" collapsed="false">
      <c r="A246" s="7" t="s">
        <v>1425</v>
      </c>
      <c r="B246" s="7" t="s">
        <v>1413</v>
      </c>
      <c r="C246" s="7" t="s">
        <v>1414</v>
      </c>
      <c r="D246" s="7" t="s">
        <v>1415</v>
      </c>
      <c r="E246" s="7" t="s">
        <v>56</v>
      </c>
      <c r="F246" s="7" t="n">
        <v>2</v>
      </c>
      <c r="G246" s="7" t="s">
        <v>1426</v>
      </c>
      <c r="H246" s="7" t="s">
        <v>59</v>
      </c>
      <c r="I246" s="7" t="s">
        <v>1427</v>
      </c>
      <c r="J246" s="7" t="s">
        <v>1418</v>
      </c>
      <c r="K246" s="7" t="s">
        <v>1428</v>
      </c>
      <c r="L246" s="7" t="s">
        <v>136</v>
      </c>
      <c r="M246" s="7" t="s">
        <v>1429</v>
      </c>
      <c r="N246" s="12"/>
      <c r="O246" s="12" t="s">
        <v>40</v>
      </c>
      <c r="P246" s="12"/>
      <c r="Q246" s="12"/>
      <c r="R246" s="13"/>
      <c r="S246" s="12"/>
      <c r="T246" s="12"/>
      <c r="U246" s="12"/>
    </row>
    <row r="247" customFormat="false" ht="22.35" hidden="false" customHeight="false" outlineLevel="0" collapsed="false">
      <c r="A247" s="7" t="s">
        <v>1430</v>
      </c>
      <c r="B247" s="7" t="s">
        <v>1413</v>
      </c>
      <c r="C247" s="7" t="s">
        <v>1414</v>
      </c>
      <c r="D247" s="7" t="s">
        <v>1415</v>
      </c>
      <c r="E247" s="7" t="s">
        <v>56</v>
      </c>
      <c r="F247" s="7" t="n">
        <v>2</v>
      </c>
      <c r="G247" s="7" t="s">
        <v>1426</v>
      </c>
      <c r="H247" s="7" t="s">
        <v>60</v>
      </c>
      <c r="I247" s="7" t="s">
        <v>1431</v>
      </c>
      <c r="J247" s="7" t="s">
        <v>1418</v>
      </c>
      <c r="K247" s="7" t="s">
        <v>1432</v>
      </c>
      <c r="L247" s="7" t="s">
        <v>1433</v>
      </c>
      <c r="M247" s="7" t="s">
        <v>1434</v>
      </c>
      <c r="N247" s="12"/>
      <c r="O247" s="12" t="s">
        <v>40</v>
      </c>
      <c r="P247" s="12"/>
      <c r="Q247" s="12"/>
      <c r="R247" s="13"/>
      <c r="S247" s="12"/>
      <c r="T247" s="12"/>
      <c r="U247" s="12"/>
    </row>
    <row r="248" customFormat="false" ht="22.35" hidden="false" customHeight="false" outlineLevel="0" collapsed="false">
      <c r="A248" s="7" t="s">
        <v>1435</v>
      </c>
      <c r="B248" s="7" t="s">
        <v>1413</v>
      </c>
      <c r="C248" s="7" t="s">
        <v>1436</v>
      </c>
      <c r="D248" s="7" t="s">
        <v>1437</v>
      </c>
      <c r="E248" s="7" t="s">
        <v>57</v>
      </c>
      <c r="F248" s="7" t="n">
        <v>1</v>
      </c>
      <c r="G248" s="7" t="s">
        <v>1438</v>
      </c>
      <c r="H248" s="7" t="s">
        <v>59</v>
      </c>
      <c r="I248" s="7" t="s">
        <v>1439</v>
      </c>
      <c r="J248" s="7" t="s">
        <v>1440</v>
      </c>
      <c r="K248" s="7" t="s">
        <v>1441</v>
      </c>
      <c r="L248" s="7" t="s">
        <v>1442</v>
      </c>
      <c r="M248" s="7" t="s">
        <v>1443</v>
      </c>
      <c r="N248" s="12"/>
      <c r="O248" s="12" t="s">
        <v>40</v>
      </c>
      <c r="P248" s="12"/>
      <c r="Q248" s="12"/>
      <c r="R248" s="13"/>
      <c r="S248" s="12"/>
      <c r="T248" s="12"/>
      <c r="U248" s="12"/>
    </row>
    <row r="249" customFormat="false" ht="22.35" hidden="false" customHeight="false" outlineLevel="0" collapsed="false">
      <c r="A249" s="7" t="s">
        <v>1444</v>
      </c>
      <c r="B249" s="7" t="s">
        <v>1413</v>
      </c>
      <c r="C249" s="7" t="s">
        <v>1436</v>
      </c>
      <c r="D249" s="7" t="s">
        <v>1437</v>
      </c>
      <c r="E249" s="7" t="s">
        <v>57</v>
      </c>
      <c r="F249" s="7" t="n">
        <v>1</v>
      </c>
      <c r="G249" s="7" t="s">
        <v>1438</v>
      </c>
      <c r="H249" s="7" t="s">
        <v>60</v>
      </c>
      <c r="I249" s="7" t="s">
        <v>1445</v>
      </c>
      <c r="J249" s="7" t="s">
        <v>1440</v>
      </c>
      <c r="K249" s="7" t="s">
        <v>1446</v>
      </c>
      <c r="L249" s="7" t="s">
        <v>1447</v>
      </c>
      <c r="M249" s="7" t="s">
        <v>1448</v>
      </c>
      <c r="N249" s="12"/>
      <c r="O249" s="12" t="s">
        <v>40</v>
      </c>
      <c r="P249" s="12"/>
      <c r="Q249" s="12"/>
      <c r="R249" s="13"/>
      <c r="S249" s="12"/>
      <c r="T249" s="12"/>
      <c r="U249" s="12"/>
    </row>
    <row r="250" customFormat="false" ht="22.35" hidden="false" customHeight="false" outlineLevel="0" collapsed="false">
      <c r="A250" s="7" t="s">
        <v>1449</v>
      </c>
      <c r="B250" s="7" t="s">
        <v>1413</v>
      </c>
      <c r="C250" s="7" t="s">
        <v>1436</v>
      </c>
      <c r="D250" s="7" t="s">
        <v>1437</v>
      </c>
      <c r="E250" s="7" t="s">
        <v>57</v>
      </c>
      <c r="F250" s="7" t="n">
        <v>2</v>
      </c>
      <c r="G250" s="7" t="s">
        <v>1450</v>
      </c>
      <c r="H250" s="7" t="s">
        <v>59</v>
      </c>
      <c r="I250" s="7" t="s">
        <v>1451</v>
      </c>
      <c r="J250" s="7" t="s">
        <v>1440</v>
      </c>
      <c r="K250" s="7" t="s">
        <v>1452</v>
      </c>
      <c r="L250" s="7" t="s">
        <v>136</v>
      </c>
      <c r="M250" s="7" t="s">
        <v>1453</v>
      </c>
      <c r="N250" s="12"/>
      <c r="O250" s="12" t="s">
        <v>40</v>
      </c>
      <c r="P250" s="12"/>
      <c r="Q250" s="12"/>
      <c r="R250" s="13"/>
      <c r="S250" s="12"/>
      <c r="T250" s="12"/>
      <c r="U250" s="12"/>
    </row>
    <row r="251" customFormat="false" ht="22.35" hidden="false" customHeight="false" outlineLevel="0" collapsed="false">
      <c r="A251" s="7" t="s">
        <v>1454</v>
      </c>
      <c r="B251" s="7" t="s">
        <v>1413</v>
      </c>
      <c r="C251" s="7" t="s">
        <v>1436</v>
      </c>
      <c r="D251" s="7" t="s">
        <v>1437</v>
      </c>
      <c r="E251" s="7" t="s">
        <v>57</v>
      </c>
      <c r="F251" s="7" t="n">
        <v>2</v>
      </c>
      <c r="G251" s="7" t="s">
        <v>1450</v>
      </c>
      <c r="H251" s="7" t="s">
        <v>60</v>
      </c>
      <c r="I251" s="7" t="s">
        <v>1455</v>
      </c>
      <c r="J251" s="7" t="s">
        <v>1440</v>
      </c>
      <c r="K251" s="7" t="s">
        <v>1456</v>
      </c>
      <c r="L251" s="7" t="s">
        <v>136</v>
      </c>
      <c r="M251" s="7" t="s">
        <v>1457</v>
      </c>
      <c r="N251" s="12"/>
      <c r="O251" s="12" t="s">
        <v>40</v>
      </c>
      <c r="P251" s="12"/>
      <c r="Q251" s="12"/>
      <c r="R251" s="13"/>
      <c r="S251" s="12"/>
      <c r="T251" s="12"/>
      <c r="U251" s="12"/>
    </row>
    <row r="252" customFormat="false" ht="22.35" hidden="false" customHeight="false" outlineLevel="0" collapsed="false">
      <c r="A252" s="7" t="s">
        <v>1458</v>
      </c>
      <c r="B252" s="7" t="s">
        <v>1413</v>
      </c>
      <c r="C252" s="7" t="s">
        <v>1459</v>
      </c>
      <c r="D252" s="7" t="s">
        <v>1460</v>
      </c>
      <c r="E252" s="7" t="s">
        <v>56</v>
      </c>
      <c r="F252" s="7" t="n">
        <v>1</v>
      </c>
      <c r="G252" s="7" t="s">
        <v>1461</v>
      </c>
      <c r="H252" s="7" t="s">
        <v>59</v>
      </c>
      <c r="I252" s="7" t="s">
        <v>1462</v>
      </c>
      <c r="J252" s="7" t="s">
        <v>1463</v>
      </c>
      <c r="K252" s="7" t="s">
        <v>1464</v>
      </c>
      <c r="L252" s="7" t="s">
        <v>136</v>
      </c>
      <c r="M252" s="7" t="s">
        <v>1465</v>
      </c>
      <c r="N252" s="12"/>
      <c r="O252" s="12" t="s">
        <v>40</v>
      </c>
      <c r="P252" s="12"/>
      <c r="Q252" s="12"/>
      <c r="R252" s="13"/>
      <c r="S252" s="12"/>
      <c r="T252" s="12"/>
      <c r="U252" s="12"/>
    </row>
    <row r="253" customFormat="false" ht="22.35" hidden="false" customHeight="false" outlineLevel="0" collapsed="false">
      <c r="A253" s="7" t="s">
        <v>1466</v>
      </c>
      <c r="B253" s="7" t="s">
        <v>1413</v>
      </c>
      <c r="C253" s="7" t="s">
        <v>1459</v>
      </c>
      <c r="D253" s="7" t="s">
        <v>1460</v>
      </c>
      <c r="E253" s="7" t="s">
        <v>56</v>
      </c>
      <c r="F253" s="7" t="n">
        <v>1</v>
      </c>
      <c r="G253" s="7" t="s">
        <v>1461</v>
      </c>
      <c r="H253" s="7" t="s">
        <v>60</v>
      </c>
      <c r="I253" s="7" t="s">
        <v>1467</v>
      </c>
      <c r="J253" s="7" t="s">
        <v>1463</v>
      </c>
      <c r="K253" s="7" t="s">
        <v>1468</v>
      </c>
      <c r="L253" s="7" t="s">
        <v>136</v>
      </c>
      <c r="M253" s="7" t="s">
        <v>1469</v>
      </c>
      <c r="N253" s="12"/>
      <c r="O253" s="12" t="s">
        <v>40</v>
      </c>
      <c r="P253" s="12"/>
      <c r="Q253" s="12"/>
      <c r="R253" s="13"/>
      <c r="S253" s="12"/>
      <c r="T253" s="12"/>
      <c r="U253" s="12"/>
    </row>
    <row r="254" customFormat="false" ht="22.35" hidden="false" customHeight="false" outlineLevel="0" collapsed="false">
      <c r="A254" s="7" t="s">
        <v>1470</v>
      </c>
      <c r="B254" s="7" t="s">
        <v>1413</v>
      </c>
      <c r="C254" s="7" t="s">
        <v>1459</v>
      </c>
      <c r="D254" s="7" t="s">
        <v>1460</v>
      </c>
      <c r="E254" s="7" t="s">
        <v>56</v>
      </c>
      <c r="F254" s="7" t="n">
        <v>2</v>
      </c>
      <c r="G254" s="7" t="s">
        <v>1471</v>
      </c>
      <c r="H254" s="7" t="s">
        <v>59</v>
      </c>
      <c r="I254" s="7" t="s">
        <v>1472</v>
      </c>
      <c r="J254" s="7" t="s">
        <v>1463</v>
      </c>
      <c r="K254" s="7" t="s">
        <v>1473</v>
      </c>
      <c r="L254" s="7" t="s">
        <v>136</v>
      </c>
      <c r="M254" s="7" t="s">
        <v>1474</v>
      </c>
      <c r="N254" s="12"/>
      <c r="O254" s="12" t="s">
        <v>40</v>
      </c>
      <c r="P254" s="12"/>
      <c r="Q254" s="12"/>
      <c r="R254" s="13"/>
      <c r="S254" s="12"/>
      <c r="T254" s="12"/>
      <c r="U254" s="12"/>
    </row>
    <row r="255" customFormat="false" ht="22.35" hidden="false" customHeight="false" outlineLevel="0" collapsed="false">
      <c r="A255" s="7" t="s">
        <v>1475</v>
      </c>
      <c r="B255" s="7" t="s">
        <v>1413</v>
      </c>
      <c r="C255" s="7" t="s">
        <v>1459</v>
      </c>
      <c r="D255" s="7" t="s">
        <v>1460</v>
      </c>
      <c r="E255" s="7" t="s">
        <v>56</v>
      </c>
      <c r="F255" s="7" t="n">
        <v>2</v>
      </c>
      <c r="G255" s="7" t="s">
        <v>1471</v>
      </c>
      <c r="H255" s="7" t="s">
        <v>60</v>
      </c>
      <c r="I255" s="7" t="s">
        <v>1476</v>
      </c>
      <c r="J255" s="7" t="s">
        <v>1463</v>
      </c>
      <c r="K255" s="7" t="s">
        <v>1477</v>
      </c>
      <c r="L255" s="7" t="s">
        <v>136</v>
      </c>
      <c r="M255" s="7" t="s">
        <v>1478</v>
      </c>
      <c r="N255" s="12"/>
      <c r="O255" s="12" t="s">
        <v>40</v>
      </c>
      <c r="P255" s="12"/>
      <c r="Q255" s="12"/>
      <c r="R255" s="13"/>
      <c r="S255" s="12"/>
      <c r="T255" s="12"/>
      <c r="U255" s="12"/>
    </row>
    <row r="256" customFormat="false" ht="32.8" hidden="false" customHeight="false" outlineLevel="0" collapsed="false">
      <c r="A256" s="7" t="s">
        <v>1479</v>
      </c>
      <c r="B256" s="7" t="s">
        <v>1413</v>
      </c>
      <c r="C256" s="7" t="s">
        <v>1480</v>
      </c>
      <c r="D256" s="7" t="s">
        <v>1481</v>
      </c>
      <c r="E256" s="7" t="s">
        <v>57</v>
      </c>
      <c r="F256" s="7" t="n">
        <v>1</v>
      </c>
      <c r="G256" s="7" t="s">
        <v>1482</v>
      </c>
      <c r="H256" s="7" t="s">
        <v>59</v>
      </c>
      <c r="I256" s="7" t="s">
        <v>1483</v>
      </c>
      <c r="J256" s="7" t="s">
        <v>1484</v>
      </c>
      <c r="K256" s="7" t="s">
        <v>1485</v>
      </c>
      <c r="L256" s="7" t="s">
        <v>136</v>
      </c>
      <c r="M256" s="7" t="s">
        <v>1486</v>
      </c>
      <c r="N256" s="12"/>
      <c r="O256" s="12" t="s">
        <v>40</v>
      </c>
      <c r="P256" s="12"/>
      <c r="Q256" s="12"/>
      <c r="R256" s="13"/>
      <c r="S256" s="12"/>
      <c r="T256" s="12"/>
      <c r="U256" s="12"/>
    </row>
    <row r="257" customFormat="false" ht="22.35" hidden="false" customHeight="false" outlineLevel="0" collapsed="false">
      <c r="A257" s="7" t="s">
        <v>1487</v>
      </c>
      <c r="B257" s="7" t="s">
        <v>1413</v>
      </c>
      <c r="C257" s="7" t="s">
        <v>1480</v>
      </c>
      <c r="D257" s="7" t="s">
        <v>1481</v>
      </c>
      <c r="E257" s="7" t="s">
        <v>57</v>
      </c>
      <c r="F257" s="7" t="n">
        <v>1</v>
      </c>
      <c r="G257" s="7" t="s">
        <v>1482</v>
      </c>
      <c r="H257" s="7" t="s">
        <v>60</v>
      </c>
      <c r="I257" s="7" t="s">
        <v>1488</v>
      </c>
      <c r="J257" s="7" t="s">
        <v>1484</v>
      </c>
      <c r="K257" s="7" t="s">
        <v>1489</v>
      </c>
      <c r="L257" s="7" t="s">
        <v>136</v>
      </c>
      <c r="M257" s="7" t="s">
        <v>1490</v>
      </c>
      <c r="N257" s="12"/>
      <c r="O257" s="12" t="s">
        <v>40</v>
      </c>
      <c r="P257" s="12"/>
      <c r="Q257" s="12"/>
      <c r="R257" s="13"/>
      <c r="S257" s="12"/>
      <c r="T257" s="12"/>
      <c r="U257" s="12"/>
    </row>
    <row r="258" customFormat="false" ht="22.35" hidden="false" customHeight="false" outlineLevel="0" collapsed="false">
      <c r="A258" s="7" t="s">
        <v>1491</v>
      </c>
      <c r="B258" s="7" t="s">
        <v>1413</v>
      </c>
      <c r="C258" s="7" t="s">
        <v>1480</v>
      </c>
      <c r="D258" s="7" t="s">
        <v>1481</v>
      </c>
      <c r="E258" s="7" t="s">
        <v>57</v>
      </c>
      <c r="F258" s="7" t="n">
        <v>2</v>
      </c>
      <c r="G258" s="7" t="s">
        <v>1492</v>
      </c>
      <c r="H258" s="7" t="s">
        <v>59</v>
      </c>
      <c r="I258" s="7" t="s">
        <v>1493</v>
      </c>
      <c r="J258" s="7" t="s">
        <v>1484</v>
      </c>
      <c r="K258" s="7" t="s">
        <v>1494</v>
      </c>
      <c r="L258" s="7" t="s">
        <v>136</v>
      </c>
      <c r="M258" s="7" t="s">
        <v>1495</v>
      </c>
      <c r="N258" s="12"/>
      <c r="O258" s="12" t="s">
        <v>40</v>
      </c>
      <c r="P258" s="12"/>
      <c r="Q258" s="12"/>
      <c r="R258" s="13"/>
      <c r="S258" s="12"/>
      <c r="T258" s="12"/>
      <c r="U258" s="12"/>
    </row>
    <row r="259" customFormat="false" ht="22.35" hidden="false" customHeight="false" outlineLevel="0" collapsed="false">
      <c r="A259" s="7" t="s">
        <v>1496</v>
      </c>
      <c r="B259" s="7" t="s">
        <v>1413</v>
      </c>
      <c r="C259" s="7" t="s">
        <v>1480</v>
      </c>
      <c r="D259" s="7" t="s">
        <v>1481</v>
      </c>
      <c r="E259" s="7" t="s">
        <v>57</v>
      </c>
      <c r="F259" s="7" t="n">
        <v>2</v>
      </c>
      <c r="G259" s="7" t="s">
        <v>1492</v>
      </c>
      <c r="H259" s="7" t="s">
        <v>60</v>
      </c>
      <c r="I259" s="7" t="s">
        <v>1497</v>
      </c>
      <c r="J259" s="7" t="s">
        <v>1484</v>
      </c>
      <c r="K259" s="7" t="s">
        <v>1498</v>
      </c>
      <c r="L259" s="7" t="s">
        <v>136</v>
      </c>
      <c r="M259" s="7" t="s">
        <v>1499</v>
      </c>
      <c r="N259" s="12"/>
      <c r="O259" s="12" t="s">
        <v>40</v>
      </c>
      <c r="P259" s="12"/>
      <c r="Q259" s="12"/>
      <c r="R259" s="13"/>
      <c r="S259" s="12"/>
      <c r="T259" s="12"/>
      <c r="U259" s="12"/>
    </row>
    <row r="260" customFormat="false" ht="32.8" hidden="false" customHeight="false" outlineLevel="0" collapsed="false">
      <c r="A260" s="7" t="s">
        <v>1500</v>
      </c>
      <c r="B260" s="7" t="s">
        <v>1501</v>
      </c>
      <c r="C260" s="7" t="s">
        <v>1502</v>
      </c>
      <c r="D260" s="7" t="s">
        <v>1503</v>
      </c>
      <c r="E260" s="7" t="s">
        <v>55</v>
      </c>
      <c r="F260" s="7" t="n">
        <v>1</v>
      </c>
      <c r="G260" s="7" t="s">
        <v>1504</v>
      </c>
      <c r="H260" s="7" t="s">
        <v>59</v>
      </c>
      <c r="I260" s="7" t="s">
        <v>1505</v>
      </c>
      <c r="J260" s="7" t="s">
        <v>1506</v>
      </c>
      <c r="K260" s="7" t="s">
        <v>1507</v>
      </c>
      <c r="L260" s="7" t="s">
        <v>136</v>
      </c>
      <c r="M260" s="7" t="s">
        <v>1508</v>
      </c>
      <c r="N260" s="12"/>
      <c r="O260" s="12" t="s">
        <v>40</v>
      </c>
      <c r="P260" s="12"/>
      <c r="Q260" s="12"/>
      <c r="R260" s="13"/>
      <c r="S260" s="12"/>
      <c r="T260" s="12"/>
      <c r="U260" s="12"/>
    </row>
    <row r="261" customFormat="false" ht="32.8" hidden="false" customHeight="false" outlineLevel="0" collapsed="false">
      <c r="A261" s="7" t="s">
        <v>1509</v>
      </c>
      <c r="B261" s="7" t="s">
        <v>1501</v>
      </c>
      <c r="C261" s="7" t="s">
        <v>1502</v>
      </c>
      <c r="D261" s="7" t="s">
        <v>1503</v>
      </c>
      <c r="E261" s="7" t="s">
        <v>55</v>
      </c>
      <c r="F261" s="7" t="n">
        <v>1</v>
      </c>
      <c r="G261" s="7" t="s">
        <v>1504</v>
      </c>
      <c r="H261" s="7" t="s">
        <v>60</v>
      </c>
      <c r="I261" s="7" t="s">
        <v>1510</v>
      </c>
      <c r="J261" s="7" t="s">
        <v>1506</v>
      </c>
      <c r="K261" s="7" t="s">
        <v>1511</v>
      </c>
      <c r="L261" s="7" t="s">
        <v>136</v>
      </c>
      <c r="M261" s="7" t="s">
        <v>1512</v>
      </c>
      <c r="N261" s="12"/>
      <c r="O261" s="12" t="s">
        <v>40</v>
      </c>
      <c r="P261" s="12"/>
      <c r="Q261" s="12"/>
      <c r="R261" s="13"/>
      <c r="S261" s="12"/>
      <c r="T261" s="12"/>
      <c r="U261" s="12"/>
    </row>
    <row r="262" customFormat="false" ht="22.35" hidden="false" customHeight="false" outlineLevel="0" collapsed="false">
      <c r="A262" s="7" t="s">
        <v>1513</v>
      </c>
      <c r="B262" s="7" t="s">
        <v>1501</v>
      </c>
      <c r="C262" s="7" t="s">
        <v>1502</v>
      </c>
      <c r="D262" s="7" t="s">
        <v>1503</v>
      </c>
      <c r="E262" s="7" t="s">
        <v>55</v>
      </c>
      <c r="F262" s="7" t="n">
        <v>2</v>
      </c>
      <c r="G262" s="7" t="s">
        <v>1514</v>
      </c>
      <c r="H262" s="7" t="s">
        <v>59</v>
      </c>
      <c r="I262" s="7" t="s">
        <v>1515</v>
      </c>
      <c r="J262" s="7" t="s">
        <v>1506</v>
      </c>
      <c r="K262" s="7" t="s">
        <v>1516</v>
      </c>
      <c r="L262" s="7" t="s">
        <v>136</v>
      </c>
      <c r="M262" s="7" t="s">
        <v>1517</v>
      </c>
      <c r="N262" s="12"/>
      <c r="O262" s="12" t="s">
        <v>40</v>
      </c>
      <c r="P262" s="12"/>
      <c r="Q262" s="12"/>
      <c r="R262" s="13"/>
      <c r="S262" s="12"/>
      <c r="T262" s="12"/>
      <c r="U262" s="12"/>
    </row>
    <row r="263" customFormat="false" ht="22.35" hidden="false" customHeight="false" outlineLevel="0" collapsed="false">
      <c r="A263" s="7" t="s">
        <v>1518</v>
      </c>
      <c r="B263" s="7" t="s">
        <v>1501</v>
      </c>
      <c r="C263" s="7" t="s">
        <v>1502</v>
      </c>
      <c r="D263" s="7" t="s">
        <v>1503</v>
      </c>
      <c r="E263" s="7" t="s">
        <v>55</v>
      </c>
      <c r="F263" s="7" t="n">
        <v>2</v>
      </c>
      <c r="G263" s="7" t="s">
        <v>1514</v>
      </c>
      <c r="H263" s="7" t="s">
        <v>60</v>
      </c>
      <c r="I263" s="7" t="s">
        <v>1519</v>
      </c>
      <c r="J263" s="7" t="s">
        <v>1506</v>
      </c>
      <c r="K263" s="7" t="s">
        <v>1520</v>
      </c>
      <c r="L263" s="7" t="s">
        <v>136</v>
      </c>
      <c r="M263" s="7" t="s">
        <v>1521</v>
      </c>
      <c r="N263" s="12"/>
      <c r="O263" s="12" t="s">
        <v>40</v>
      </c>
      <c r="P263" s="12"/>
      <c r="Q263" s="12"/>
      <c r="R263" s="13"/>
      <c r="S263" s="12"/>
      <c r="T263" s="12"/>
      <c r="U263" s="12"/>
    </row>
    <row r="264" customFormat="false" ht="22.35" hidden="false" customHeight="false" outlineLevel="0" collapsed="false">
      <c r="A264" s="7" t="s">
        <v>1522</v>
      </c>
      <c r="B264" s="7" t="s">
        <v>1501</v>
      </c>
      <c r="C264" s="7" t="s">
        <v>1523</v>
      </c>
      <c r="D264" s="7" t="s">
        <v>1524</v>
      </c>
      <c r="E264" s="7" t="s">
        <v>56</v>
      </c>
      <c r="F264" s="7" t="n">
        <v>1</v>
      </c>
      <c r="G264" s="7" t="s">
        <v>1525</v>
      </c>
      <c r="H264" s="7" t="s">
        <v>59</v>
      </c>
      <c r="I264" s="7" t="s">
        <v>1526</v>
      </c>
      <c r="J264" s="7" t="s">
        <v>1527</v>
      </c>
      <c r="K264" s="7" t="s">
        <v>1528</v>
      </c>
      <c r="L264" s="7" t="s">
        <v>136</v>
      </c>
      <c r="M264" s="7" t="s">
        <v>1529</v>
      </c>
      <c r="N264" s="12"/>
      <c r="O264" s="12" t="s">
        <v>40</v>
      </c>
      <c r="P264" s="12"/>
      <c r="Q264" s="12"/>
      <c r="R264" s="13"/>
      <c r="S264" s="12"/>
      <c r="T264" s="12"/>
      <c r="U264" s="12"/>
    </row>
    <row r="265" customFormat="false" ht="22.35" hidden="false" customHeight="false" outlineLevel="0" collapsed="false">
      <c r="A265" s="7" t="s">
        <v>1530</v>
      </c>
      <c r="B265" s="7" t="s">
        <v>1501</v>
      </c>
      <c r="C265" s="7" t="s">
        <v>1523</v>
      </c>
      <c r="D265" s="7" t="s">
        <v>1524</v>
      </c>
      <c r="E265" s="7" t="s">
        <v>56</v>
      </c>
      <c r="F265" s="7" t="n">
        <v>1</v>
      </c>
      <c r="G265" s="7" t="s">
        <v>1525</v>
      </c>
      <c r="H265" s="7" t="s">
        <v>60</v>
      </c>
      <c r="I265" s="7" t="s">
        <v>1531</v>
      </c>
      <c r="J265" s="7" t="s">
        <v>1527</v>
      </c>
      <c r="K265" s="7" t="s">
        <v>1532</v>
      </c>
      <c r="L265" s="7" t="s">
        <v>136</v>
      </c>
      <c r="M265" s="7" t="s">
        <v>1533</v>
      </c>
      <c r="N265" s="12"/>
      <c r="O265" s="12" t="s">
        <v>40</v>
      </c>
      <c r="P265" s="12"/>
      <c r="Q265" s="12"/>
      <c r="R265" s="13"/>
      <c r="S265" s="12"/>
      <c r="T265" s="12"/>
      <c r="U265" s="12"/>
    </row>
    <row r="266" customFormat="false" ht="22.35" hidden="false" customHeight="false" outlineLevel="0" collapsed="false">
      <c r="A266" s="7" t="s">
        <v>1534</v>
      </c>
      <c r="B266" s="7" t="s">
        <v>1501</v>
      </c>
      <c r="C266" s="7" t="s">
        <v>1523</v>
      </c>
      <c r="D266" s="7" t="s">
        <v>1524</v>
      </c>
      <c r="E266" s="7" t="s">
        <v>56</v>
      </c>
      <c r="F266" s="7" t="n">
        <v>2</v>
      </c>
      <c r="G266" s="7" t="s">
        <v>1535</v>
      </c>
      <c r="H266" s="7" t="s">
        <v>59</v>
      </c>
      <c r="I266" s="7" t="s">
        <v>1536</v>
      </c>
      <c r="J266" s="7" t="s">
        <v>1527</v>
      </c>
      <c r="K266" s="7" t="s">
        <v>1537</v>
      </c>
      <c r="L266" s="7" t="s">
        <v>136</v>
      </c>
      <c r="M266" s="7" t="s">
        <v>1538</v>
      </c>
      <c r="N266" s="12"/>
      <c r="O266" s="12" t="s">
        <v>40</v>
      </c>
      <c r="P266" s="12"/>
      <c r="Q266" s="12"/>
      <c r="R266" s="13"/>
      <c r="S266" s="12"/>
      <c r="T266" s="12"/>
      <c r="U266" s="12"/>
    </row>
    <row r="267" customFormat="false" ht="22.35" hidden="false" customHeight="false" outlineLevel="0" collapsed="false">
      <c r="A267" s="7" t="s">
        <v>1539</v>
      </c>
      <c r="B267" s="7" t="s">
        <v>1501</v>
      </c>
      <c r="C267" s="7" t="s">
        <v>1523</v>
      </c>
      <c r="D267" s="7" t="s">
        <v>1524</v>
      </c>
      <c r="E267" s="7" t="s">
        <v>56</v>
      </c>
      <c r="F267" s="7" t="n">
        <v>2</v>
      </c>
      <c r="G267" s="7" t="s">
        <v>1535</v>
      </c>
      <c r="H267" s="7" t="s">
        <v>60</v>
      </c>
      <c r="I267" s="7" t="s">
        <v>1540</v>
      </c>
      <c r="J267" s="7" t="s">
        <v>1527</v>
      </c>
      <c r="K267" s="7" t="s">
        <v>1541</v>
      </c>
      <c r="L267" s="7" t="s">
        <v>136</v>
      </c>
      <c r="M267" s="7" t="s">
        <v>1542</v>
      </c>
      <c r="N267" s="12"/>
      <c r="O267" s="12" t="s">
        <v>40</v>
      </c>
      <c r="P267" s="12"/>
      <c r="Q267" s="12"/>
      <c r="R267" s="13"/>
      <c r="S267" s="12"/>
      <c r="T267" s="12"/>
      <c r="U267" s="12"/>
    </row>
    <row r="268" customFormat="false" ht="32.8" hidden="false" customHeight="false" outlineLevel="0" collapsed="false">
      <c r="A268" s="7" t="s">
        <v>1543</v>
      </c>
      <c r="B268" s="7" t="s">
        <v>1501</v>
      </c>
      <c r="C268" s="7" t="s">
        <v>1544</v>
      </c>
      <c r="D268" s="7" t="s">
        <v>1545</v>
      </c>
      <c r="E268" s="7" t="s">
        <v>56</v>
      </c>
      <c r="F268" s="7" t="n">
        <v>1</v>
      </c>
      <c r="G268" s="7" t="s">
        <v>1546</v>
      </c>
      <c r="H268" s="7" t="s">
        <v>59</v>
      </c>
      <c r="I268" s="7" t="s">
        <v>1547</v>
      </c>
      <c r="J268" s="7" t="s">
        <v>1548</v>
      </c>
      <c r="K268" s="7" t="s">
        <v>1549</v>
      </c>
      <c r="L268" s="7" t="s">
        <v>136</v>
      </c>
      <c r="M268" s="7" t="s">
        <v>1550</v>
      </c>
      <c r="N268" s="12"/>
      <c r="O268" s="12" t="s">
        <v>40</v>
      </c>
      <c r="P268" s="12"/>
      <c r="Q268" s="12"/>
      <c r="R268" s="13"/>
      <c r="S268" s="12"/>
      <c r="T268" s="12"/>
      <c r="U268" s="12"/>
    </row>
    <row r="269" customFormat="false" ht="32.8" hidden="false" customHeight="false" outlineLevel="0" collapsed="false">
      <c r="A269" s="7" t="s">
        <v>1551</v>
      </c>
      <c r="B269" s="7" t="s">
        <v>1501</v>
      </c>
      <c r="C269" s="7" t="s">
        <v>1544</v>
      </c>
      <c r="D269" s="7" t="s">
        <v>1545</v>
      </c>
      <c r="E269" s="7" t="s">
        <v>56</v>
      </c>
      <c r="F269" s="7" t="n">
        <v>1</v>
      </c>
      <c r="G269" s="7" t="s">
        <v>1546</v>
      </c>
      <c r="H269" s="7" t="s">
        <v>60</v>
      </c>
      <c r="I269" s="7" t="s">
        <v>1552</v>
      </c>
      <c r="J269" s="7" t="s">
        <v>1548</v>
      </c>
      <c r="K269" s="7" t="s">
        <v>1553</v>
      </c>
      <c r="L269" s="7" t="s">
        <v>136</v>
      </c>
      <c r="M269" s="7" t="s">
        <v>1554</v>
      </c>
      <c r="N269" s="12"/>
      <c r="O269" s="12" t="s">
        <v>40</v>
      </c>
      <c r="P269" s="12"/>
      <c r="Q269" s="12"/>
      <c r="R269" s="13"/>
      <c r="S269" s="12"/>
      <c r="T269" s="12"/>
      <c r="U269" s="12"/>
    </row>
    <row r="270" customFormat="false" ht="22.35" hidden="false" customHeight="false" outlineLevel="0" collapsed="false">
      <c r="A270" s="7" t="s">
        <v>1555</v>
      </c>
      <c r="B270" s="7" t="s">
        <v>1501</v>
      </c>
      <c r="C270" s="7" t="s">
        <v>1544</v>
      </c>
      <c r="D270" s="7" t="s">
        <v>1545</v>
      </c>
      <c r="E270" s="7" t="s">
        <v>56</v>
      </c>
      <c r="F270" s="7" t="n">
        <v>2</v>
      </c>
      <c r="G270" s="7" t="s">
        <v>1556</v>
      </c>
      <c r="H270" s="7" t="s">
        <v>59</v>
      </c>
      <c r="I270" s="7" t="s">
        <v>1557</v>
      </c>
      <c r="J270" s="7" t="s">
        <v>1548</v>
      </c>
      <c r="K270" s="7" t="s">
        <v>1558</v>
      </c>
      <c r="L270" s="7" t="s">
        <v>136</v>
      </c>
      <c r="M270" s="7" t="s">
        <v>1559</v>
      </c>
      <c r="N270" s="12"/>
      <c r="O270" s="12" t="s">
        <v>40</v>
      </c>
      <c r="P270" s="12"/>
      <c r="Q270" s="12"/>
      <c r="R270" s="13"/>
      <c r="S270" s="12"/>
      <c r="T270" s="12"/>
      <c r="U270" s="12"/>
    </row>
    <row r="271" customFormat="false" ht="22.35" hidden="false" customHeight="false" outlineLevel="0" collapsed="false">
      <c r="A271" s="7" t="s">
        <v>1560</v>
      </c>
      <c r="B271" s="7" t="s">
        <v>1501</v>
      </c>
      <c r="C271" s="7" t="s">
        <v>1544</v>
      </c>
      <c r="D271" s="7" t="s">
        <v>1545</v>
      </c>
      <c r="E271" s="7" t="s">
        <v>56</v>
      </c>
      <c r="F271" s="7" t="n">
        <v>2</v>
      </c>
      <c r="G271" s="7" t="s">
        <v>1556</v>
      </c>
      <c r="H271" s="7" t="s">
        <v>60</v>
      </c>
      <c r="I271" s="7" t="s">
        <v>1561</v>
      </c>
      <c r="J271" s="7" t="s">
        <v>1548</v>
      </c>
      <c r="K271" s="7" t="s">
        <v>1562</v>
      </c>
      <c r="L271" s="7" t="s">
        <v>136</v>
      </c>
      <c r="M271" s="7" t="s">
        <v>1563</v>
      </c>
      <c r="N271" s="12"/>
      <c r="O271" s="12" t="s">
        <v>40</v>
      </c>
      <c r="P271" s="12"/>
      <c r="Q271" s="12"/>
      <c r="R271" s="13"/>
      <c r="S271" s="12"/>
      <c r="T271" s="12"/>
      <c r="U271" s="12"/>
    </row>
    <row r="272" customFormat="false" ht="22.35" hidden="false" customHeight="false" outlineLevel="0" collapsed="false">
      <c r="A272" s="7" t="s">
        <v>1564</v>
      </c>
      <c r="B272" s="7" t="s">
        <v>1501</v>
      </c>
      <c r="C272" s="7" t="s">
        <v>1565</v>
      </c>
      <c r="D272" s="7" t="s">
        <v>1566</v>
      </c>
      <c r="E272" s="7" t="s">
        <v>56</v>
      </c>
      <c r="F272" s="7" t="n">
        <v>1</v>
      </c>
      <c r="G272" s="7" t="s">
        <v>1567</v>
      </c>
      <c r="H272" s="7" t="s">
        <v>59</v>
      </c>
      <c r="I272" s="7" t="s">
        <v>1568</v>
      </c>
      <c r="J272" s="7" t="s">
        <v>1569</v>
      </c>
      <c r="K272" s="7" t="s">
        <v>1570</v>
      </c>
      <c r="L272" s="7" t="s">
        <v>136</v>
      </c>
      <c r="M272" s="7" t="s">
        <v>1571</v>
      </c>
      <c r="N272" s="12"/>
      <c r="O272" s="12" t="s">
        <v>40</v>
      </c>
      <c r="P272" s="12"/>
      <c r="Q272" s="12"/>
      <c r="R272" s="13"/>
      <c r="S272" s="12"/>
      <c r="T272" s="12"/>
      <c r="U272" s="12"/>
    </row>
    <row r="273" customFormat="false" ht="22.35" hidden="false" customHeight="false" outlineLevel="0" collapsed="false">
      <c r="A273" s="7" t="s">
        <v>1572</v>
      </c>
      <c r="B273" s="7" t="s">
        <v>1501</v>
      </c>
      <c r="C273" s="7" t="s">
        <v>1565</v>
      </c>
      <c r="D273" s="7" t="s">
        <v>1566</v>
      </c>
      <c r="E273" s="7" t="s">
        <v>56</v>
      </c>
      <c r="F273" s="7" t="n">
        <v>1</v>
      </c>
      <c r="G273" s="7" t="s">
        <v>1567</v>
      </c>
      <c r="H273" s="7" t="s">
        <v>60</v>
      </c>
      <c r="I273" s="7" t="s">
        <v>1573</v>
      </c>
      <c r="J273" s="7" t="s">
        <v>1569</v>
      </c>
      <c r="K273" s="7" t="s">
        <v>1574</v>
      </c>
      <c r="L273" s="7" t="s">
        <v>136</v>
      </c>
      <c r="M273" s="7" t="s">
        <v>1575</v>
      </c>
      <c r="N273" s="12"/>
      <c r="O273" s="12" t="s">
        <v>40</v>
      </c>
      <c r="P273" s="12"/>
      <c r="Q273" s="12"/>
      <c r="R273" s="13"/>
      <c r="S273" s="12"/>
      <c r="T273" s="12"/>
      <c r="U273" s="12"/>
    </row>
    <row r="274" customFormat="false" ht="22.35" hidden="false" customHeight="false" outlineLevel="0" collapsed="false">
      <c r="A274" s="7" t="s">
        <v>1576</v>
      </c>
      <c r="B274" s="7" t="s">
        <v>1501</v>
      </c>
      <c r="C274" s="7" t="s">
        <v>1565</v>
      </c>
      <c r="D274" s="7" t="s">
        <v>1566</v>
      </c>
      <c r="E274" s="7" t="s">
        <v>56</v>
      </c>
      <c r="F274" s="7" t="n">
        <v>2</v>
      </c>
      <c r="G274" s="7" t="s">
        <v>1577</v>
      </c>
      <c r="H274" s="7" t="s">
        <v>59</v>
      </c>
      <c r="I274" s="7" t="s">
        <v>1578</v>
      </c>
      <c r="J274" s="7" t="s">
        <v>1569</v>
      </c>
      <c r="K274" s="7" t="s">
        <v>1579</v>
      </c>
      <c r="L274" s="7" t="s">
        <v>136</v>
      </c>
      <c r="M274" s="7" t="s">
        <v>1580</v>
      </c>
      <c r="N274" s="12"/>
      <c r="O274" s="12" t="s">
        <v>40</v>
      </c>
      <c r="P274" s="12"/>
      <c r="Q274" s="12"/>
      <c r="R274" s="13"/>
      <c r="S274" s="12"/>
      <c r="T274" s="12"/>
      <c r="U274" s="12"/>
    </row>
    <row r="275" customFormat="false" ht="22.35" hidden="false" customHeight="false" outlineLevel="0" collapsed="false">
      <c r="A275" s="7" t="s">
        <v>1581</v>
      </c>
      <c r="B275" s="7" t="s">
        <v>1501</v>
      </c>
      <c r="C275" s="7" t="s">
        <v>1565</v>
      </c>
      <c r="D275" s="7" t="s">
        <v>1566</v>
      </c>
      <c r="E275" s="7" t="s">
        <v>56</v>
      </c>
      <c r="F275" s="7" t="n">
        <v>2</v>
      </c>
      <c r="G275" s="7" t="s">
        <v>1577</v>
      </c>
      <c r="H275" s="7" t="s">
        <v>60</v>
      </c>
      <c r="I275" s="7" t="s">
        <v>1582</v>
      </c>
      <c r="J275" s="7" t="s">
        <v>1569</v>
      </c>
      <c r="K275" s="7" t="s">
        <v>1583</v>
      </c>
      <c r="L275" s="7" t="s">
        <v>136</v>
      </c>
      <c r="M275" s="7" t="s">
        <v>1584</v>
      </c>
      <c r="N275" s="12"/>
      <c r="O275" s="12" t="s">
        <v>40</v>
      </c>
      <c r="P275" s="12"/>
      <c r="Q275" s="12"/>
      <c r="R275" s="13"/>
      <c r="S275" s="12"/>
      <c r="T275" s="12"/>
      <c r="U275" s="12"/>
    </row>
    <row r="276" customFormat="false" ht="22.35" hidden="false" customHeight="false" outlineLevel="0" collapsed="false">
      <c r="A276" s="7" t="s">
        <v>1585</v>
      </c>
      <c r="B276" s="7" t="s">
        <v>1501</v>
      </c>
      <c r="C276" s="7" t="s">
        <v>1565</v>
      </c>
      <c r="D276" s="7" t="s">
        <v>1566</v>
      </c>
      <c r="E276" s="7" t="s">
        <v>56</v>
      </c>
      <c r="F276" s="7" t="n">
        <v>3</v>
      </c>
      <c r="G276" s="7" t="s">
        <v>1586</v>
      </c>
      <c r="H276" s="7" t="s">
        <v>59</v>
      </c>
      <c r="I276" s="7" t="s">
        <v>1587</v>
      </c>
      <c r="J276" s="7" t="s">
        <v>1569</v>
      </c>
      <c r="K276" s="7" t="s">
        <v>1588</v>
      </c>
      <c r="L276" s="7" t="s">
        <v>136</v>
      </c>
      <c r="M276" s="7" t="s">
        <v>1589</v>
      </c>
      <c r="N276" s="12"/>
      <c r="O276" s="12" t="s">
        <v>40</v>
      </c>
      <c r="P276" s="12"/>
      <c r="Q276" s="12"/>
      <c r="R276" s="13"/>
      <c r="S276" s="12"/>
      <c r="T276" s="12"/>
      <c r="U276" s="12"/>
    </row>
    <row r="277" customFormat="false" ht="22.35" hidden="false" customHeight="false" outlineLevel="0" collapsed="false">
      <c r="A277" s="7" t="s">
        <v>1590</v>
      </c>
      <c r="B277" s="7" t="s">
        <v>1501</v>
      </c>
      <c r="C277" s="7" t="s">
        <v>1565</v>
      </c>
      <c r="D277" s="7" t="s">
        <v>1566</v>
      </c>
      <c r="E277" s="7" t="s">
        <v>56</v>
      </c>
      <c r="F277" s="7" t="n">
        <v>3</v>
      </c>
      <c r="G277" s="7" t="s">
        <v>1586</v>
      </c>
      <c r="H277" s="7" t="s">
        <v>60</v>
      </c>
      <c r="I277" s="7" t="s">
        <v>1591</v>
      </c>
      <c r="J277" s="7" t="s">
        <v>1569</v>
      </c>
      <c r="K277" s="7" t="s">
        <v>1592</v>
      </c>
      <c r="L277" s="7" t="s">
        <v>136</v>
      </c>
      <c r="M277" s="7" t="s">
        <v>1593</v>
      </c>
      <c r="N277" s="12"/>
      <c r="O277" s="12" t="s">
        <v>40</v>
      </c>
      <c r="P277" s="12"/>
      <c r="Q277" s="12"/>
      <c r="R277" s="13"/>
      <c r="S277" s="12"/>
      <c r="T277" s="12"/>
      <c r="U277" s="12"/>
    </row>
    <row r="278" customFormat="false" ht="22.35" hidden="false" customHeight="false" outlineLevel="0" collapsed="false">
      <c r="A278" s="7" t="s">
        <v>1594</v>
      </c>
      <c r="B278" s="7" t="s">
        <v>1501</v>
      </c>
      <c r="C278" s="7" t="s">
        <v>1595</v>
      </c>
      <c r="D278" s="7" t="s">
        <v>1596</v>
      </c>
      <c r="E278" s="7" t="s">
        <v>54</v>
      </c>
      <c r="F278" s="7" t="n">
        <v>1</v>
      </c>
      <c r="G278" s="7" t="s">
        <v>1597</v>
      </c>
      <c r="H278" s="7" t="s">
        <v>59</v>
      </c>
      <c r="I278" s="7" t="s">
        <v>1598</v>
      </c>
      <c r="J278" s="7" t="s">
        <v>1599</v>
      </c>
      <c r="K278" s="7" t="s">
        <v>1600</v>
      </c>
      <c r="L278" s="7" t="s">
        <v>1601</v>
      </c>
      <c r="M278" s="7" t="s">
        <v>1602</v>
      </c>
      <c r="N278" s="12"/>
      <c r="O278" s="12" t="s">
        <v>40</v>
      </c>
      <c r="P278" s="12"/>
      <c r="Q278" s="12"/>
      <c r="R278" s="13"/>
      <c r="S278" s="12"/>
      <c r="T278" s="12"/>
      <c r="U278" s="12"/>
    </row>
    <row r="279" customFormat="false" ht="22.35" hidden="false" customHeight="false" outlineLevel="0" collapsed="false">
      <c r="A279" s="7" t="s">
        <v>1603</v>
      </c>
      <c r="B279" s="7" t="s">
        <v>1501</v>
      </c>
      <c r="C279" s="7" t="s">
        <v>1595</v>
      </c>
      <c r="D279" s="7" t="s">
        <v>1596</v>
      </c>
      <c r="E279" s="7" t="s">
        <v>54</v>
      </c>
      <c r="F279" s="7" t="n">
        <v>1</v>
      </c>
      <c r="G279" s="7" t="s">
        <v>1597</v>
      </c>
      <c r="H279" s="7" t="s">
        <v>60</v>
      </c>
      <c r="I279" s="7" t="s">
        <v>1604</v>
      </c>
      <c r="J279" s="7" t="s">
        <v>1599</v>
      </c>
      <c r="K279" s="7" t="s">
        <v>1605</v>
      </c>
      <c r="L279" s="7" t="s">
        <v>136</v>
      </c>
      <c r="M279" s="7" t="s">
        <v>1606</v>
      </c>
      <c r="N279" s="12"/>
      <c r="O279" s="12" t="s">
        <v>40</v>
      </c>
      <c r="P279" s="12"/>
      <c r="Q279" s="12"/>
      <c r="R279" s="13"/>
      <c r="S279" s="12"/>
      <c r="T279" s="12"/>
      <c r="U279" s="12"/>
    </row>
    <row r="280" customFormat="false" ht="22.35" hidden="false" customHeight="false" outlineLevel="0" collapsed="false">
      <c r="A280" s="7" t="s">
        <v>1607</v>
      </c>
      <c r="B280" s="7" t="s">
        <v>1501</v>
      </c>
      <c r="C280" s="7" t="s">
        <v>1595</v>
      </c>
      <c r="D280" s="7" t="s">
        <v>1596</v>
      </c>
      <c r="E280" s="7" t="s">
        <v>54</v>
      </c>
      <c r="F280" s="7" t="n">
        <v>2</v>
      </c>
      <c r="G280" s="7" t="s">
        <v>1608</v>
      </c>
      <c r="H280" s="7" t="s">
        <v>59</v>
      </c>
      <c r="I280" s="7" t="s">
        <v>1609</v>
      </c>
      <c r="J280" s="7" t="s">
        <v>1599</v>
      </c>
      <c r="K280" s="7" t="s">
        <v>1610</v>
      </c>
      <c r="L280" s="7" t="s">
        <v>136</v>
      </c>
      <c r="M280" s="7" t="s">
        <v>1611</v>
      </c>
      <c r="N280" s="12"/>
      <c r="O280" s="12" t="s">
        <v>40</v>
      </c>
      <c r="P280" s="12"/>
      <c r="Q280" s="12"/>
      <c r="R280" s="13"/>
      <c r="S280" s="12"/>
      <c r="T280" s="12"/>
      <c r="U280" s="12"/>
    </row>
    <row r="281" customFormat="false" ht="22.35" hidden="false" customHeight="false" outlineLevel="0" collapsed="false">
      <c r="A281" s="7" t="s">
        <v>1612</v>
      </c>
      <c r="B281" s="7" t="s">
        <v>1501</v>
      </c>
      <c r="C281" s="7" t="s">
        <v>1595</v>
      </c>
      <c r="D281" s="7" t="s">
        <v>1596</v>
      </c>
      <c r="E281" s="7" t="s">
        <v>54</v>
      </c>
      <c r="F281" s="7" t="n">
        <v>2</v>
      </c>
      <c r="G281" s="7" t="s">
        <v>1608</v>
      </c>
      <c r="H281" s="7" t="s">
        <v>60</v>
      </c>
      <c r="I281" s="7" t="s">
        <v>1613</v>
      </c>
      <c r="J281" s="7" t="s">
        <v>1599</v>
      </c>
      <c r="K281" s="7" t="s">
        <v>1614</v>
      </c>
      <c r="L281" s="7" t="s">
        <v>136</v>
      </c>
      <c r="M281" s="7" t="s">
        <v>1615</v>
      </c>
      <c r="N281" s="12"/>
      <c r="O281" s="12" t="s">
        <v>40</v>
      </c>
      <c r="P281" s="12"/>
      <c r="Q281" s="12"/>
      <c r="R281" s="13"/>
      <c r="S281" s="12"/>
      <c r="T281" s="12"/>
      <c r="U281" s="12"/>
    </row>
    <row r="282" customFormat="false" ht="22.35" hidden="false" customHeight="false" outlineLevel="0" collapsed="false">
      <c r="A282" s="7" t="s">
        <v>1616</v>
      </c>
      <c r="B282" s="7" t="s">
        <v>1501</v>
      </c>
      <c r="C282" s="7" t="s">
        <v>1595</v>
      </c>
      <c r="D282" s="7" t="s">
        <v>1596</v>
      </c>
      <c r="E282" s="7" t="s">
        <v>54</v>
      </c>
      <c r="F282" s="7" t="n">
        <v>3</v>
      </c>
      <c r="G282" s="7" t="s">
        <v>1617</v>
      </c>
      <c r="H282" s="7" t="s">
        <v>59</v>
      </c>
      <c r="I282" s="7" t="s">
        <v>1618</v>
      </c>
      <c r="J282" s="7" t="s">
        <v>1599</v>
      </c>
      <c r="K282" s="7" t="s">
        <v>1619</v>
      </c>
      <c r="L282" s="7" t="s">
        <v>136</v>
      </c>
      <c r="M282" s="7" t="s">
        <v>1620</v>
      </c>
      <c r="N282" s="12"/>
      <c r="O282" s="12" t="s">
        <v>40</v>
      </c>
      <c r="P282" s="12"/>
      <c r="Q282" s="12"/>
      <c r="R282" s="13"/>
      <c r="S282" s="12"/>
      <c r="T282" s="12"/>
      <c r="U282" s="12"/>
    </row>
    <row r="283" customFormat="false" ht="22.35" hidden="false" customHeight="false" outlineLevel="0" collapsed="false">
      <c r="A283" s="7" t="s">
        <v>1621</v>
      </c>
      <c r="B283" s="7" t="s">
        <v>1501</v>
      </c>
      <c r="C283" s="7" t="s">
        <v>1595</v>
      </c>
      <c r="D283" s="7" t="s">
        <v>1596</v>
      </c>
      <c r="E283" s="7" t="s">
        <v>54</v>
      </c>
      <c r="F283" s="7" t="n">
        <v>3</v>
      </c>
      <c r="G283" s="7" t="s">
        <v>1617</v>
      </c>
      <c r="H283" s="7" t="s">
        <v>60</v>
      </c>
      <c r="I283" s="7" t="s">
        <v>1622</v>
      </c>
      <c r="J283" s="7" t="s">
        <v>1599</v>
      </c>
      <c r="K283" s="7" t="s">
        <v>1623</v>
      </c>
      <c r="L283" s="7" t="s">
        <v>136</v>
      </c>
      <c r="M283" s="7" t="s">
        <v>1624</v>
      </c>
      <c r="N283" s="12"/>
      <c r="O283" s="12" t="s">
        <v>40</v>
      </c>
      <c r="P283" s="12"/>
      <c r="Q283" s="12"/>
      <c r="R283" s="13"/>
      <c r="S283" s="12"/>
      <c r="T283" s="12"/>
      <c r="U283" s="12"/>
    </row>
    <row r="284" customFormat="false" ht="22.35" hidden="false" customHeight="false" outlineLevel="0" collapsed="false">
      <c r="A284" s="7" t="s">
        <v>1625</v>
      </c>
      <c r="B284" s="7" t="s">
        <v>1501</v>
      </c>
      <c r="C284" s="7" t="s">
        <v>1626</v>
      </c>
      <c r="D284" s="7" t="s">
        <v>1627</v>
      </c>
      <c r="E284" s="7" t="s">
        <v>56</v>
      </c>
      <c r="F284" s="7" t="n">
        <v>1</v>
      </c>
      <c r="G284" s="7" t="s">
        <v>1628</v>
      </c>
      <c r="H284" s="7" t="s">
        <v>59</v>
      </c>
      <c r="I284" s="7" t="s">
        <v>1629</v>
      </c>
      <c r="J284" s="7" t="s">
        <v>1630</v>
      </c>
      <c r="K284" s="7" t="s">
        <v>1631</v>
      </c>
      <c r="L284" s="7" t="s">
        <v>136</v>
      </c>
      <c r="M284" s="7" t="s">
        <v>1632</v>
      </c>
      <c r="N284" s="12"/>
      <c r="O284" s="12" t="s">
        <v>40</v>
      </c>
      <c r="P284" s="12"/>
      <c r="Q284" s="12"/>
      <c r="R284" s="13"/>
      <c r="S284" s="12"/>
      <c r="T284" s="12"/>
      <c r="U284" s="12"/>
    </row>
    <row r="285" customFormat="false" ht="22.35" hidden="false" customHeight="false" outlineLevel="0" collapsed="false">
      <c r="A285" s="7" t="s">
        <v>1633</v>
      </c>
      <c r="B285" s="7" t="s">
        <v>1501</v>
      </c>
      <c r="C285" s="7" t="s">
        <v>1626</v>
      </c>
      <c r="D285" s="7" t="s">
        <v>1627</v>
      </c>
      <c r="E285" s="7" t="s">
        <v>56</v>
      </c>
      <c r="F285" s="7" t="n">
        <v>1</v>
      </c>
      <c r="G285" s="7" t="s">
        <v>1628</v>
      </c>
      <c r="H285" s="7" t="s">
        <v>60</v>
      </c>
      <c r="I285" s="7" t="s">
        <v>1634</v>
      </c>
      <c r="J285" s="7" t="s">
        <v>1630</v>
      </c>
      <c r="K285" s="7" t="s">
        <v>1635</v>
      </c>
      <c r="L285" s="7" t="s">
        <v>136</v>
      </c>
      <c r="M285" s="7" t="s">
        <v>1636</v>
      </c>
      <c r="N285" s="12"/>
      <c r="O285" s="12" t="s">
        <v>40</v>
      </c>
      <c r="P285" s="12"/>
      <c r="Q285" s="12"/>
      <c r="R285" s="13"/>
      <c r="S285" s="12"/>
      <c r="T285" s="12"/>
      <c r="U285" s="12"/>
    </row>
    <row r="286" customFormat="false" ht="22.35" hidden="false" customHeight="false" outlineLevel="0" collapsed="false">
      <c r="A286" s="7" t="s">
        <v>1637</v>
      </c>
      <c r="B286" s="7" t="s">
        <v>1501</v>
      </c>
      <c r="C286" s="7" t="s">
        <v>1626</v>
      </c>
      <c r="D286" s="7" t="s">
        <v>1627</v>
      </c>
      <c r="E286" s="7" t="s">
        <v>56</v>
      </c>
      <c r="F286" s="7" t="n">
        <v>2</v>
      </c>
      <c r="G286" s="7" t="s">
        <v>1638</v>
      </c>
      <c r="H286" s="7" t="s">
        <v>59</v>
      </c>
      <c r="I286" s="7" t="s">
        <v>1639</v>
      </c>
      <c r="J286" s="7" t="s">
        <v>1630</v>
      </c>
      <c r="K286" s="7" t="s">
        <v>1640</v>
      </c>
      <c r="L286" s="7" t="s">
        <v>136</v>
      </c>
      <c r="M286" s="7" t="s">
        <v>1641</v>
      </c>
      <c r="N286" s="12"/>
      <c r="O286" s="12" t="s">
        <v>40</v>
      </c>
      <c r="P286" s="12"/>
      <c r="Q286" s="12"/>
      <c r="R286" s="13"/>
      <c r="S286" s="12"/>
      <c r="T286" s="12"/>
      <c r="U286" s="12"/>
    </row>
    <row r="287" customFormat="false" ht="22.35" hidden="false" customHeight="false" outlineLevel="0" collapsed="false">
      <c r="A287" s="7" t="s">
        <v>1642</v>
      </c>
      <c r="B287" s="7" t="s">
        <v>1501</v>
      </c>
      <c r="C287" s="7" t="s">
        <v>1626</v>
      </c>
      <c r="D287" s="7" t="s">
        <v>1627</v>
      </c>
      <c r="E287" s="7" t="s">
        <v>56</v>
      </c>
      <c r="F287" s="7" t="n">
        <v>2</v>
      </c>
      <c r="G287" s="7" t="s">
        <v>1638</v>
      </c>
      <c r="H287" s="7" t="s">
        <v>60</v>
      </c>
      <c r="I287" s="7" t="s">
        <v>1643</v>
      </c>
      <c r="J287" s="7" t="s">
        <v>1630</v>
      </c>
      <c r="K287" s="7" t="s">
        <v>1644</v>
      </c>
      <c r="L287" s="7" t="s">
        <v>136</v>
      </c>
      <c r="M287" s="7" t="s">
        <v>1645</v>
      </c>
      <c r="N287" s="12"/>
      <c r="O287" s="12" t="s">
        <v>40</v>
      </c>
      <c r="P287" s="12"/>
      <c r="Q287" s="12"/>
      <c r="R287" s="13"/>
      <c r="S287" s="12"/>
      <c r="T287" s="12"/>
      <c r="U287" s="12"/>
    </row>
    <row r="288" customFormat="false" ht="22.35" hidden="false" customHeight="false" outlineLevel="0" collapsed="false">
      <c r="A288" s="7" t="s">
        <v>1646</v>
      </c>
      <c r="B288" s="7" t="s">
        <v>1501</v>
      </c>
      <c r="C288" s="7" t="s">
        <v>1647</v>
      </c>
      <c r="D288" s="7" t="s">
        <v>1648</v>
      </c>
      <c r="E288" s="7" t="s">
        <v>57</v>
      </c>
      <c r="F288" s="7" t="n">
        <v>1</v>
      </c>
      <c r="G288" s="7" t="s">
        <v>1649</v>
      </c>
      <c r="H288" s="7" t="s">
        <v>59</v>
      </c>
      <c r="I288" s="7" t="s">
        <v>1650</v>
      </c>
      <c r="J288" s="7" t="s">
        <v>1651</v>
      </c>
      <c r="K288" s="7" t="s">
        <v>1652</v>
      </c>
      <c r="L288" s="7" t="s">
        <v>136</v>
      </c>
      <c r="M288" s="7" t="s">
        <v>1653</v>
      </c>
      <c r="N288" s="12"/>
      <c r="O288" s="12" t="s">
        <v>40</v>
      </c>
      <c r="P288" s="12"/>
      <c r="Q288" s="12"/>
      <c r="R288" s="13"/>
      <c r="S288" s="12"/>
      <c r="T288" s="12"/>
      <c r="U288" s="12"/>
    </row>
    <row r="289" customFormat="false" ht="22.35" hidden="false" customHeight="false" outlineLevel="0" collapsed="false">
      <c r="A289" s="7" t="s">
        <v>1654</v>
      </c>
      <c r="B289" s="7" t="s">
        <v>1501</v>
      </c>
      <c r="C289" s="7" t="s">
        <v>1647</v>
      </c>
      <c r="D289" s="7" t="s">
        <v>1648</v>
      </c>
      <c r="E289" s="7" t="s">
        <v>57</v>
      </c>
      <c r="F289" s="7" t="n">
        <v>1</v>
      </c>
      <c r="G289" s="7" t="s">
        <v>1649</v>
      </c>
      <c r="H289" s="7" t="s">
        <v>60</v>
      </c>
      <c r="I289" s="7" t="s">
        <v>1655</v>
      </c>
      <c r="J289" s="7" t="s">
        <v>1651</v>
      </c>
      <c r="K289" s="7" t="s">
        <v>1656</v>
      </c>
      <c r="L289" s="7" t="s">
        <v>136</v>
      </c>
      <c r="M289" s="7" t="s">
        <v>1657</v>
      </c>
      <c r="N289" s="12"/>
      <c r="O289" s="12" t="s">
        <v>40</v>
      </c>
      <c r="P289" s="12"/>
      <c r="Q289" s="12"/>
      <c r="R289" s="13"/>
      <c r="S289" s="12"/>
      <c r="T289" s="12"/>
      <c r="U289" s="12"/>
    </row>
    <row r="290" customFormat="false" ht="22.35" hidden="false" customHeight="false" outlineLevel="0" collapsed="false">
      <c r="A290" s="7" t="s">
        <v>1658</v>
      </c>
      <c r="B290" s="7" t="s">
        <v>1501</v>
      </c>
      <c r="C290" s="7" t="s">
        <v>1647</v>
      </c>
      <c r="D290" s="7" t="s">
        <v>1648</v>
      </c>
      <c r="E290" s="7" t="s">
        <v>57</v>
      </c>
      <c r="F290" s="7" t="n">
        <v>2</v>
      </c>
      <c r="G290" s="7" t="s">
        <v>1659</v>
      </c>
      <c r="H290" s="7" t="s">
        <v>59</v>
      </c>
      <c r="I290" s="7" t="s">
        <v>1660</v>
      </c>
      <c r="J290" s="7" t="s">
        <v>1651</v>
      </c>
      <c r="K290" s="7" t="s">
        <v>1661</v>
      </c>
      <c r="L290" s="7" t="s">
        <v>136</v>
      </c>
      <c r="M290" s="7" t="s">
        <v>1662</v>
      </c>
      <c r="N290" s="12"/>
      <c r="O290" s="12" t="s">
        <v>40</v>
      </c>
      <c r="P290" s="12"/>
      <c r="Q290" s="12"/>
      <c r="R290" s="13"/>
      <c r="S290" s="12"/>
      <c r="T290" s="12"/>
      <c r="U290" s="12"/>
    </row>
    <row r="291" customFormat="false" ht="22.35" hidden="false" customHeight="false" outlineLevel="0" collapsed="false">
      <c r="A291" s="7" t="s">
        <v>1663</v>
      </c>
      <c r="B291" s="7" t="s">
        <v>1501</v>
      </c>
      <c r="C291" s="7" t="s">
        <v>1647</v>
      </c>
      <c r="D291" s="7" t="s">
        <v>1648</v>
      </c>
      <c r="E291" s="7" t="s">
        <v>57</v>
      </c>
      <c r="F291" s="7" t="n">
        <v>2</v>
      </c>
      <c r="G291" s="7" t="s">
        <v>1659</v>
      </c>
      <c r="H291" s="7" t="s">
        <v>60</v>
      </c>
      <c r="I291" s="7" t="s">
        <v>1664</v>
      </c>
      <c r="J291" s="7" t="s">
        <v>1651</v>
      </c>
      <c r="K291" s="7" t="s">
        <v>1665</v>
      </c>
      <c r="L291" s="7" t="s">
        <v>136</v>
      </c>
      <c r="M291" s="7" t="s">
        <v>1666</v>
      </c>
      <c r="N291" s="12"/>
      <c r="O291" s="12" t="s">
        <v>40</v>
      </c>
      <c r="P291" s="12"/>
      <c r="Q291" s="12"/>
      <c r="R291" s="13"/>
      <c r="S291" s="12"/>
      <c r="T291" s="12"/>
      <c r="U291" s="12"/>
    </row>
  </sheetData>
  <autoFilter ref="A1:U291"/>
  <conditionalFormatting sqref="O2:O29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"Deferred"</formula>
    </cfRule>
  </conditionalFormatting>
  <dataValidations count="1">
    <dataValidation allowBlank="false" errorStyle="stop" operator="between" showDropDown="false" showErrorMessage="false" showInputMessage="false" sqref="O2:O291" type="list">
      <formula1>"Not Run,Pass,Fail,Blocked,Deferred"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5"/>
    <col collapsed="false" customWidth="true" hidden="false" outlineLevel="0" max="9" min="8" style="0" width="40"/>
    <col collapsed="false" customWidth="true" hidden="false" outlineLevel="0" max="10" min="10" style="0" width="30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22"/>
  </cols>
  <sheetData>
    <row r="1" customFormat="false" ht="30" hidden="false" customHeight="true" outlineLevel="0" collapsed="false">
      <c r="A1" s="11" t="s">
        <v>1667</v>
      </c>
      <c r="B1" s="11" t="s">
        <v>1668</v>
      </c>
      <c r="C1" s="11" t="s">
        <v>70</v>
      </c>
      <c r="D1" s="11" t="s">
        <v>1669</v>
      </c>
      <c r="E1" s="11" t="s">
        <v>75</v>
      </c>
      <c r="F1" s="11" t="s">
        <v>77</v>
      </c>
      <c r="G1" s="11" t="s">
        <v>1670</v>
      </c>
      <c r="H1" s="11" t="s">
        <v>1671</v>
      </c>
      <c r="I1" s="11" t="s">
        <v>78</v>
      </c>
      <c r="J1" s="11" t="s">
        <v>79</v>
      </c>
      <c r="K1" s="11" t="s">
        <v>80</v>
      </c>
      <c r="L1" s="11" t="s">
        <v>81</v>
      </c>
      <c r="M1" s="11" t="s">
        <v>82</v>
      </c>
      <c r="N1" s="11" t="s">
        <v>83</v>
      </c>
      <c r="O1" s="11" t="s">
        <v>84</v>
      </c>
      <c r="P1" s="11" t="s">
        <v>86</v>
      </c>
    </row>
    <row r="2" customFormat="false" ht="53.7" hidden="false" customHeight="false" outlineLevel="0" collapsed="false">
      <c r="A2" s="7" t="s">
        <v>1672</v>
      </c>
      <c r="B2" s="7" t="s">
        <v>1673</v>
      </c>
      <c r="C2" s="7" t="s">
        <v>54</v>
      </c>
      <c r="D2" s="7" t="s">
        <v>1674</v>
      </c>
      <c r="E2" s="7" t="s">
        <v>1675</v>
      </c>
      <c r="F2" s="7" t="s">
        <v>1676</v>
      </c>
      <c r="G2" s="7" t="n">
        <v>1</v>
      </c>
      <c r="H2" s="7" t="s">
        <v>1677</v>
      </c>
      <c r="I2" s="7" t="s">
        <v>1678</v>
      </c>
      <c r="J2" s="12"/>
      <c r="K2" s="12" t="s">
        <v>40</v>
      </c>
      <c r="L2" s="12"/>
      <c r="M2" s="12"/>
      <c r="N2" s="13"/>
      <c r="O2" s="12"/>
      <c r="P2" s="12"/>
    </row>
    <row r="3" customFormat="false" ht="53.7" hidden="false" customHeight="false" outlineLevel="0" collapsed="false">
      <c r="A3" s="7" t="s">
        <v>1672</v>
      </c>
      <c r="B3" s="7" t="s">
        <v>1673</v>
      </c>
      <c r="C3" s="7" t="s">
        <v>54</v>
      </c>
      <c r="D3" s="7" t="s">
        <v>1674</v>
      </c>
      <c r="E3" s="7" t="s">
        <v>1675</v>
      </c>
      <c r="F3" s="7" t="s">
        <v>1676</v>
      </c>
      <c r="G3" s="7" t="n">
        <v>2</v>
      </c>
      <c r="H3" s="7" t="s">
        <v>1679</v>
      </c>
      <c r="I3" s="7" t="s">
        <v>1680</v>
      </c>
      <c r="J3" s="12"/>
      <c r="K3" s="12" t="s">
        <v>40</v>
      </c>
      <c r="L3" s="12"/>
      <c r="M3" s="12"/>
      <c r="N3" s="13"/>
      <c r="O3" s="12"/>
      <c r="P3" s="12"/>
    </row>
    <row r="4" customFormat="false" ht="53.7" hidden="false" customHeight="false" outlineLevel="0" collapsed="false">
      <c r="A4" s="7" t="s">
        <v>1672</v>
      </c>
      <c r="B4" s="7" t="s">
        <v>1673</v>
      </c>
      <c r="C4" s="7" t="s">
        <v>54</v>
      </c>
      <c r="D4" s="7" t="s">
        <v>1674</v>
      </c>
      <c r="E4" s="7" t="s">
        <v>1675</v>
      </c>
      <c r="F4" s="7" t="s">
        <v>1676</v>
      </c>
      <c r="G4" s="7" t="n">
        <v>3</v>
      </c>
      <c r="H4" s="7" t="s">
        <v>1681</v>
      </c>
      <c r="I4" s="7" t="s">
        <v>1682</v>
      </c>
      <c r="J4" s="12"/>
      <c r="K4" s="12" t="s">
        <v>40</v>
      </c>
      <c r="L4" s="12"/>
      <c r="M4" s="12"/>
      <c r="N4" s="13"/>
      <c r="O4" s="12"/>
      <c r="P4" s="12"/>
    </row>
    <row r="5" customFormat="false" ht="53.7" hidden="false" customHeight="false" outlineLevel="0" collapsed="false">
      <c r="A5" s="7" t="s">
        <v>1672</v>
      </c>
      <c r="B5" s="7" t="s">
        <v>1673</v>
      </c>
      <c r="C5" s="7" t="s">
        <v>54</v>
      </c>
      <c r="D5" s="7" t="s">
        <v>1674</v>
      </c>
      <c r="E5" s="7" t="s">
        <v>1675</v>
      </c>
      <c r="F5" s="7" t="s">
        <v>1676</v>
      </c>
      <c r="G5" s="7" t="n">
        <v>4</v>
      </c>
      <c r="H5" s="7" t="s">
        <v>1683</v>
      </c>
      <c r="I5" s="7" t="s">
        <v>1684</v>
      </c>
      <c r="J5" s="12"/>
      <c r="K5" s="12" t="s">
        <v>40</v>
      </c>
      <c r="L5" s="12"/>
      <c r="M5" s="12"/>
      <c r="N5" s="13"/>
      <c r="O5" s="12"/>
      <c r="P5" s="12"/>
    </row>
    <row r="6" customFormat="false" ht="53.7" hidden="false" customHeight="false" outlineLevel="0" collapsed="false">
      <c r="A6" s="7" t="s">
        <v>1672</v>
      </c>
      <c r="B6" s="7" t="s">
        <v>1673</v>
      </c>
      <c r="C6" s="7" t="s">
        <v>54</v>
      </c>
      <c r="D6" s="7" t="s">
        <v>1674</v>
      </c>
      <c r="E6" s="7" t="s">
        <v>1675</v>
      </c>
      <c r="F6" s="7" t="s">
        <v>1676</v>
      </c>
      <c r="G6" s="7" t="n">
        <v>5</v>
      </c>
      <c r="H6" s="7" t="s">
        <v>1685</v>
      </c>
      <c r="I6" s="7" t="s">
        <v>1686</v>
      </c>
      <c r="J6" s="12"/>
      <c r="K6" s="12" t="s">
        <v>40</v>
      </c>
      <c r="L6" s="12"/>
      <c r="M6" s="12"/>
      <c r="N6" s="13"/>
      <c r="O6" s="12"/>
      <c r="P6" s="12"/>
    </row>
    <row r="7" customFormat="false" ht="53.7" hidden="false" customHeight="false" outlineLevel="0" collapsed="false">
      <c r="A7" s="7" t="s">
        <v>1672</v>
      </c>
      <c r="B7" s="7" t="s">
        <v>1673</v>
      </c>
      <c r="C7" s="7" t="s">
        <v>54</v>
      </c>
      <c r="D7" s="7" t="s">
        <v>1674</v>
      </c>
      <c r="E7" s="7" t="s">
        <v>1675</v>
      </c>
      <c r="F7" s="7" t="s">
        <v>1676</v>
      </c>
      <c r="G7" s="7" t="n">
        <v>6</v>
      </c>
      <c r="H7" s="7" t="s">
        <v>1687</v>
      </c>
      <c r="I7" s="7" t="s">
        <v>1688</v>
      </c>
      <c r="J7" s="12"/>
      <c r="K7" s="12" t="s">
        <v>40</v>
      </c>
      <c r="L7" s="12"/>
      <c r="M7" s="12"/>
      <c r="N7" s="13"/>
      <c r="O7" s="12"/>
      <c r="P7" s="12"/>
    </row>
    <row r="8" customFormat="false" ht="53.7" hidden="false" customHeight="false" outlineLevel="0" collapsed="false">
      <c r="A8" s="7" t="s">
        <v>1672</v>
      </c>
      <c r="B8" s="7" t="s">
        <v>1673</v>
      </c>
      <c r="C8" s="7" t="s">
        <v>54</v>
      </c>
      <c r="D8" s="7" t="s">
        <v>1674</v>
      </c>
      <c r="E8" s="7" t="s">
        <v>1675</v>
      </c>
      <c r="F8" s="7" t="s">
        <v>1676</v>
      </c>
      <c r="G8" s="7" t="n">
        <v>7</v>
      </c>
      <c r="H8" s="7" t="s">
        <v>1689</v>
      </c>
      <c r="I8" s="7" t="s">
        <v>1690</v>
      </c>
      <c r="J8" s="12"/>
      <c r="K8" s="12" t="s">
        <v>40</v>
      </c>
      <c r="L8" s="12"/>
      <c r="M8" s="12"/>
      <c r="N8" s="13"/>
      <c r="O8" s="12"/>
      <c r="P8" s="12"/>
    </row>
    <row r="9" customFormat="false" ht="53.7" hidden="false" customHeight="false" outlineLevel="0" collapsed="false">
      <c r="A9" s="7" t="s">
        <v>1672</v>
      </c>
      <c r="B9" s="7" t="s">
        <v>1673</v>
      </c>
      <c r="C9" s="7" t="s">
        <v>54</v>
      </c>
      <c r="D9" s="7" t="s">
        <v>1674</v>
      </c>
      <c r="E9" s="7" t="s">
        <v>1675</v>
      </c>
      <c r="F9" s="7" t="s">
        <v>1676</v>
      </c>
      <c r="G9" s="7" t="n">
        <v>8</v>
      </c>
      <c r="H9" s="7" t="s">
        <v>1691</v>
      </c>
      <c r="I9" s="7" t="s">
        <v>1692</v>
      </c>
      <c r="J9" s="12"/>
      <c r="K9" s="12" t="s">
        <v>40</v>
      </c>
      <c r="L9" s="12"/>
      <c r="M9" s="12"/>
      <c r="N9" s="13"/>
      <c r="O9" s="12"/>
      <c r="P9" s="12"/>
    </row>
    <row r="10" customFormat="false" ht="53.7" hidden="false" customHeight="false" outlineLevel="0" collapsed="false">
      <c r="A10" s="7" t="s">
        <v>1672</v>
      </c>
      <c r="B10" s="7" t="s">
        <v>1673</v>
      </c>
      <c r="C10" s="7" t="s">
        <v>54</v>
      </c>
      <c r="D10" s="7" t="s">
        <v>1674</v>
      </c>
      <c r="E10" s="7" t="s">
        <v>1675</v>
      </c>
      <c r="F10" s="7" t="s">
        <v>1676</v>
      </c>
      <c r="G10" s="7" t="n">
        <v>9</v>
      </c>
      <c r="H10" s="7" t="s">
        <v>1693</v>
      </c>
      <c r="I10" s="7" t="s">
        <v>1694</v>
      </c>
      <c r="J10" s="12"/>
      <c r="K10" s="12" t="s">
        <v>40</v>
      </c>
      <c r="L10" s="12"/>
      <c r="M10" s="12"/>
      <c r="N10" s="13"/>
      <c r="O10" s="12"/>
      <c r="P10" s="12"/>
    </row>
    <row r="11" customFormat="false" ht="53.7" hidden="false" customHeight="false" outlineLevel="0" collapsed="false">
      <c r="A11" s="7" t="s">
        <v>1672</v>
      </c>
      <c r="B11" s="7" t="s">
        <v>1673</v>
      </c>
      <c r="C11" s="7" t="s">
        <v>54</v>
      </c>
      <c r="D11" s="7" t="s">
        <v>1674</v>
      </c>
      <c r="E11" s="7" t="s">
        <v>1675</v>
      </c>
      <c r="F11" s="7" t="s">
        <v>1676</v>
      </c>
      <c r="G11" s="7" t="n">
        <v>10</v>
      </c>
      <c r="H11" s="7" t="s">
        <v>1695</v>
      </c>
      <c r="I11" s="7" t="s">
        <v>1696</v>
      </c>
      <c r="J11" s="12"/>
      <c r="K11" s="12" t="s">
        <v>40</v>
      </c>
      <c r="L11" s="12"/>
      <c r="M11" s="12"/>
      <c r="N11" s="13"/>
      <c r="O11" s="12"/>
      <c r="P11" s="12"/>
    </row>
    <row r="12" customFormat="false" ht="53.7" hidden="false" customHeight="false" outlineLevel="0" collapsed="false">
      <c r="A12" s="7" t="s">
        <v>1672</v>
      </c>
      <c r="B12" s="7" t="s">
        <v>1673</v>
      </c>
      <c r="C12" s="7" t="s">
        <v>54</v>
      </c>
      <c r="D12" s="7" t="s">
        <v>1674</v>
      </c>
      <c r="E12" s="7" t="s">
        <v>1675</v>
      </c>
      <c r="F12" s="7" t="s">
        <v>1676</v>
      </c>
      <c r="G12" s="7" t="n">
        <v>11</v>
      </c>
      <c r="H12" s="7" t="s">
        <v>1697</v>
      </c>
      <c r="I12" s="7" t="s">
        <v>1698</v>
      </c>
      <c r="J12" s="12"/>
      <c r="K12" s="12" t="s">
        <v>40</v>
      </c>
      <c r="L12" s="12"/>
      <c r="M12" s="12"/>
      <c r="N12" s="13"/>
      <c r="O12" s="12"/>
      <c r="P12" s="12"/>
    </row>
    <row r="13" customFormat="false" ht="53.7" hidden="false" customHeight="false" outlineLevel="0" collapsed="false">
      <c r="A13" s="7" t="s">
        <v>1672</v>
      </c>
      <c r="B13" s="7" t="s">
        <v>1673</v>
      </c>
      <c r="C13" s="7" t="s">
        <v>54</v>
      </c>
      <c r="D13" s="7" t="s">
        <v>1674</v>
      </c>
      <c r="E13" s="7" t="s">
        <v>1675</v>
      </c>
      <c r="F13" s="7" t="s">
        <v>1676</v>
      </c>
      <c r="G13" s="7" t="n">
        <v>12</v>
      </c>
      <c r="H13" s="7" t="s">
        <v>1699</v>
      </c>
      <c r="I13" s="7" t="s">
        <v>1700</v>
      </c>
      <c r="J13" s="12"/>
      <c r="K13" s="12" t="s">
        <v>40</v>
      </c>
      <c r="L13" s="12"/>
      <c r="M13" s="12"/>
      <c r="N13" s="13"/>
      <c r="O13" s="12"/>
      <c r="P13" s="12"/>
    </row>
    <row r="14" customFormat="false" ht="22.35" hidden="false" customHeight="false" outlineLevel="0" collapsed="false">
      <c r="A14" s="7" t="s">
        <v>1701</v>
      </c>
      <c r="B14" s="7" t="s">
        <v>1702</v>
      </c>
      <c r="C14" s="7" t="s">
        <v>55</v>
      </c>
      <c r="D14" s="7" t="s">
        <v>1703</v>
      </c>
      <c r="E14" s="7" t="s">
        <v>1704</v>
      </c>
      <c r="F14" s="7" t="s">
        <v>1705</v>
      </c>
      <c r="G14" s="7" t="n">
        <v>1</v>
      </c>
      <c r="H14" s="7" t="s">
        <v>1706</v>
      </c>
      <c r="I14" s="7" t="s">
        <v>795</v>
      </c>
      <c r="J14" s="12"/>
      <c r="K14" s="12" t="s">
        <v>40</v>
      </c>
      <c r="L14" s="12"/>
      <c r="M14" s="12"/>
      <c r="N14" s="13"/>
      <c r="O14" s="12"/>
      <c r="P14" s="12"/>
    </row>
    <row r="15" customFormat="false" ht="22.35" hidden="false" customHeight="false" outlineLevel="0" collapsed="false">
      <c r="A15" s="7" t="s">
        <v>1701</v>
      </c>
      <c r="B15" s="7" t="s">
        <v>1702</v>
      </c>
      <c r="C15" s="7" t="s">
        <v>55</v>
      </c>
      <c r="D15" s="7" t="s">
        <v>1703</v>
      </c>
      <c r="E15" s="7" t="s">
        <v>1704</v>
      </c>
      <c r="F15" s="7" t="s">
        <v>1705</v>
      </c>
      <c r="G15" s="7" t="n">
        <v>2</v>
      </c>
      <c r="H15" s="7" t="s">
        <v>1707</v>
      </c>
      <c r="I15" s="7" t="s">
        <v>1708</v>
      </c>
      <c r="J15" s="12"/>
      <c r="K15" s="12" t="s">
        <v>40</v>
      </c>
      <c r="L15" s="12"/>
      <c r="M15" s="12"/>
      <c r="N15" s="13"/>
      <c r="O15" s="12"/>
      <c r="P15" s="12"/>
    </row>
    <row r="16" customFormat="false" ht="22.35" hidden="false" customHeight="false" outlineLevel="0" collapsed="false">
      <c r="A16" s="7" t="s">
        <v>1701</v>
      </c>
      <c r="B16" s="7" t="s">
        <v>1702</v>
      </c>
      <c r="C16" s="7" t="s">
        <v>55</v>
      </c>
      <c r="D16" s="7" t="s">
        <v>1703</v>
      </c>
      <c r="E16" s="7" t="s">
        <v>1704</v>
      </c>
      <c r="F16" s="7" t="s">
        <v>1705</v>
      </c>
      <c r="G16" s="7" t="n">
        <v>3</v>
      </c>
      <c r="H16" s="7" t="s">
        <v>1709</v>
      </c>
      <c r="I16" s="7" t="s">
        <v>1710</v>
      </c>
      <c r="J16" s="12"/>
      <c r="K16" s="12" t="s">
        <v>40</v>
      </c>
      <c r="L16" s="12"/>
      <c r="M16" s="12"/>
      <c r="N16" s="13"/>
      <c r="O16" s="12"/>
      <c r="P16" s="12"/>
    </row>
    <row r="17" customFormat="false" ht="22.35" hidden="false" customHeight="false" outlineLevel="0" collapsed="false">
      <c r="A17" s="7" t="s">
        <v>1701</v>
      </c>
      <c r="B17" s="7" t="s">
        <v>1702</v>
      </c>
      <c r="C17" s="7" t="s">
        <v>55</v>
      </c>
      <c r="D17" s="7" t="s">
        <v>1703</v>
      </c>
      <c r="E17" s="7" t="s">
        <v>1704</v>
      </c>
      <c r="F17" s="7" t="s">
        <v>1705</v>
      </c>
      <c r="G17" s="7" t="n">
        <v>4</v>
      </c>
      <c r="H17" s="7" t="s">
        <v>1711</v>
      </c>
      <c r="I17" s="7" t="s">
        <v>1712</v>
      </c>
      <c r="J17" s="12"/>
      <c r="K17" s="12" t="s">
        <v>40</v>
      </c>
      <c r="L17" s="12"/>
      <c r="M17" s="12"/>
      <c r="N17" s="13"/>
      <c r="O17" s="12"/>
      <c r="P17" s="12"/>
    </row>
    <row r="18" customFormat="false" ht="22.35" hidden="false" customHeight="false" outlineLevel="0" collapsed="false">
      <c r="A18" s="7" t="s">
        <v>1701</v>
      </c>
      <c r="B18" s="7" t="s">
        <v>1702</v>
      </c>
      <c r="C18" s="7" t="s">
        <v>55</v>
      </c>
      <c r="D18" s="7" t="s">
        <v>1703</v>
      </c>
      <c r="E18" s="7" t="s">
        <v>1704</v>
      </c>
      <c r="F18" s="7" t="s">
        <v>1705</v>
      </c>
      <c r="G18" s="7" t="n">
        <v>5</v>
      </c>
      <c r="H18" s="7" t="s">
        <v>1713</v>
      </c>
      <c r="I18" s="7" t="s">
        <v>319</v>
      </c>
      <c r="J18" s="12"/>
      <c r="K18" s="12" t="s">
        <v>40</v>
      </c>
      <c r="L18" s="12"/>
      <c r="M18" s="12"/>
      <c r="N18" s="13"/>
      <c r="O18" s="12"/>
      <c r="P18" s="12"/>
    </row>
    <row r="19" customFormat="false" ht="22.35" hidden="false" customHeight="false" outlineLevel="0" collapsed="false">
      <c r="A19" s="7" t="s">
        <v>1701</v>
      </c>
      <c r="B19" s="7" t="s">
        <v>1702</v>
      </c>
      <c r="C19" s="7" t="s">
        <v>55</v>
      </c>
      <c r="D19" s="7" t="s">
        <v>1703</v>
      </c>
      <c r="E19" s="7" t="s">
        <v>1704</v>
      </c>
      <c r="F19" s="7" t="s">
        <v>1705</v>
      </c>
      <c r="G19" s="7" t="n">
        <v>6</v>
      </c>
      <c r="H19" s="7" t="s">
        <v>1714</v>
      </c>
      <c r="I19" s="7" t="s">
        <v>1715</v>
      </c>
      <c r="J19" s="12"/>
      <c r="K19" s="12" t="s">
        <v>40</v>
      </c>
      <c r="L19" s="12"/>
      <c r="M19" s="12"/>
      <c r="N19" s="13"/>
      <c r="O19" s="12"/>
      <c r="P19" s="12"/>
    </row>
    <row r="20" customFormat="false" ht="32.8" hidden="false" customHeight="false" outlineLevel="0" collapsed="false">
      <c r="A20" s="7" t="s">
        <v>1716</v>
      </c>
      <c r="B20" s="7" t="s">
        <v>1717</v>
      </c>
      <c r="C20" s="7" t="s">
        <v>55</v>
      </c>
      <c r="D20" s="7" t="s">
        <v>1718</v>
      </c>
      <c r="E20" s="7" t="s">
        <v>1719</v>
      </c>
      <c r="F20" s="7" t="s">
        <v>1720</v>
      </c>
      <c r="G20" s="7" t="n">
        <v>1</v>
      </c>
      <c r="H20" s="7" t="s">
        <v>1721</v>
      </c>
      <c r="I20" s="7" t="s">
        <v>1722</v>
      </c>
      <c r="J20" s="12"/>
      <c r="K20" s="12" t="s">
        <v>40</v>
      </c>
      <c r="L20" s="12"/>
      <c r="M20" s="12"/>
      <c r="N20" s="13"/>
      <c r="O20" s="12"/>
      <c r="P20" s="12"/>
    </row>
    <row r="21" customFormat="false" ht="32.8" hidden="false" customHeight="false" outlineLevel="0" collapsed="false">
      <c r="A21" s="7" t="s">
        <v>1716</v>
      </c>
      <c r="B21" s="7" t="s">
        <v>1717</v>
      </c>
      <c r="C21" s="7" t="s">
        <v>55</v>
      </c>
      <c r="D21" s="7" t="s">
        <v>1718</v>
      </c>
      <c r="E21" s="7" t="s">
        <v>1719</v>
      </c>
      <c r="F21" s="7" t="s">
        <v>1720</v>
      </c>
      <c r="G21" s="7" t="n">
        <v>2</v>
      </c>
      <c r="H21" s="7" t="s">
        <v>1723</v>
      </c>
      <c r="I21" s="7" t="s">
        <v>1724</v>
      </c>
      <c r="J21" s="12"/>
      <c r="K21" s="12" t="s">
        <v>40</v>
      </c>
      <c r="L21" s="12"/>
      <c r="M21" s="12"/>
      <c r="N21" s="13"/>
      <c r="O21" s="12"/>
      <c r="P21" s="12"/>
    </row>
    <row r="22" customFormat="false" ht="32.8" hidden="false" customHeight="false" outlineLevel="0" collapsed="false">
      <c r="A22" s="7" t="s">
        <v>1716</v>
      </c>
      <c r="B22" s="7" t="s">
        <v>1717</v>
      </c>
      <c r="C22" s="7" t="s">
        <v>55</v>
      </c>
      <c r="D22" s="7" t="s">
        <v>1718</v>
      </c>
      <c r="E22" s="7" t="s">
        <v>1719</v>
      </c>
      <c r="F22" s="7" t="s">
        <v>1720</v>
      </c>
      <c r="G22" s="7" t="n">
        <v>3</v>
      </c>
      <c r="H22" s="7" t="s">
        <v>1725</v>
      </c>
      <c r="I22" s="7" t="s">
        <v>1726</v>
      </c>
      <c r="J22" s="12"/>
      <c r="K22" s="12" t="s">
        <v>40</v>
      </c>
      <c r="L22" s="12"/>
      <c r="M22" s="12"/>
      <c r="N22" s="13"/>
      <c r="O22" s="12"/>
      <c r="P22" s="12"/>
    </row>
    <row r="23" customFormat="false" ht="32.8" hidden="false" customHeight="false" outlineLevel="0" collapsed="false">
      <c r="A23" s="7" t="s">
        <v>1716</v>
      </c>
      <c r="B23" s="7" t="s">
        <v>1717</v>
      </c>
      <c r="C23" s="7" t="s">
        <v>55</v>
      </c>
      <c r="D23" s="7" t="s">
        <v>1718</v>
      </c>
      <c r="E23" s="7" t="s">
        <v>1719</v>
      </c>
      <c r="F23" s="7" t="s">
        <v>1720</v>
      </c>
      <c r="G23" s="7" t="n">
        <v>4</v>
      </c>
      <c r="H23" s="7" t="s">
        <v>1727</v>
      </c>
      <c r="I23" s="7" t="s">
        <v>1728</v>
      </c>
      <c r="J23" s="12"/>
      <c r="K23" s="12" t="s">
        <v>40</v>
      </c>
      <c r="L23" s="12"/>
      <c r="M23" s="12"/>
      <c r="N23" s="13"/>
      <c r="O23" s="12"/>
      <c r="P23" s="12"/>
    </row>
    <row r="24" customFormat="false" ht="32.8" hidden="false" customHeight="false" outlineLevel="0" collapsed="false">
      <c r="A24" s="7" t="s">
        <v>1716</v>
      </c>
      <c r="B24" s="7" t="s">
        <v>1717</v>
      </c>
      <c r="C24" s="7" t="s">
        <v>55</v>
      </c>
      <c r="D24" s="7" t="s">
        <v>1718</v>
      </c>
      <c r="E24" s="7" t="s">
        <v>1719</v>
      </c>
      <c r="F24" s="7" t="s">
        <v>1720</v>
      </c>
      <c r="G24" s="7" t="n">
        <v>5</v>
      </c>
      <c r="H24" s="7" t="s">
        <v>1729</v>
      </c>
      <c r="I24" s="7" t="s">
        <v>1730</v>
      </c>
      <c r="J24" s="12"/>
      <c r="K24" s="12" t="s">
        <v>40</v>
      </c>
      <c r="L24" s="12"/>
      <c r="M24" s="12"/>
      <c r="N24" s="13"/>
      <c r="O24" s="12"/>
      <c r="P24" s="12"/>
    </row>
    <row r="25" customFormat="false" ht="32.8" hidden="false" customHeight="false" outlineLevel="0" collapsed="false">
      <c r="A25" s="7" t="s">
        <v>1716</v>
      </c>
      <c r="B25" s="7" t="s">
        <v>1717</v>
      </c>
      <c r="C25" s="7" t="s">
        <v>55</v>
      </c>
      <c r="D25" s="7" t="s">
        <v>1718</v>
      </c>
      <c r="E25" s="7" t="s">
        <v>1719</v>
      </c>
      <c r="F25" s="7" t="s">
        <v>1720</v>
      </c>
      <c r="G25" s="7" t="n">
        <v>6</v>
      </c>
      <c r="H25" s="7" t="s">
        <v>1731</v>
      </c>
      <c r="I25" s="7" t="s">
        <v>1732</v>
      </c>
      <c r="J25" s="12"/>
      <c r="K25" s="12" t="s">
        <v>40</v>
      </c>
      <c r="L25" s="12"/>
      <c r="M25" s="12"/>
      <c r="N25" s="13"/>
      <c r="O25" s="12"/>
      <c r="P25" s="12"/>
    </row>
    <row r="26" customFormat="false" ht="22.35" hidden="false" customHeight="false" outlineLevel="0" collapsed="false">
      <c r="A26" s="7" t="s">
        <v>1733</v>
      </c>
      <c r="B26" s="7" t="s">
        <v>1734</v>
      </c>
      <c r="C26" s="7" t="s">
        <v>56</v>
      </c>
      <c r="D26" s="7" t="s">
        <v>1735</v>
      </c>
      <c r="E26" s="7" t="s">
        <v>1736</v>
      </c>
      <c r="F26" s="7" t="s">
        <v>1737</v>
      </c>
      <c r="G26" s="7" t="n">
        <v>1</v>
      </c>
      <c r="H26" s="7" t="s">
        <v>1738</v>
      </c>
      <c r="I26" s="7" t="s">
        <v>1739</v>
      </c>
      <c r="J26" s="12"/>
      <c r="K26" s="12" t="s">
        <v>40</v>
      </c>
      <c r="L26" s="12"/>
      <c r="M26" s="12"/>
      <c r="N26" s="13"/>
      <c r="O26" s="12"/>
      <c r="P26" s="12"/>
    </row>
    <row r="27" customFormat="false" ht="22.35" hidden="false" customHeight="false" outlineLevel="0" collapsed="false">
      <c r="A27" s="7" t="s">
        <v>1733</v>
      </c>
      <c r="B27" s="7" t="s">
        <v>1734</v>
      </c>
      <c r="C27" s="7" t="s">
        <v>56</v>
      </c>
      <c r="D27" s="7" t="s">
        <v>1735</v>
      </c>
      <c r="E27" s="7" t="s">
        <v>1736</v>
      </c>
      <c r="F27" s="7" t="s">
        <v>1737</v>
      </c>
      <c r="G27" s="7" t="n">
        <v>2</v>
      </c>
      <c r="H27" s="7" t="s">
        <v>1740</v>
      </c>
      <c r="I27" s="7" t="s">
        <v>1741</v>
      </c>
      <c r="J27" s="12"/>
      <c r="K27" s="12" t="s">
        <v>40</v>
      </c>
      <c r="L27" s="12"/>
      <c r="M27" s="12"/>
      <c r="N27" s="13"/>
      <c r="O27" s="12"/>
      <c r="P27" s="12"/>
    </row>
    <row r="28" customFormat="false" ht="22.35" hidden="false" customHeight="false" outlineLevel="0" collapsed="false">
      <c r="A28" s="7" t="s">
        <v>1733</v>
      </c>
      <c r="B28" s="7" t="s">
        <v>1734</v>
      </c>
      <c r="C28" s="7" t="s">
        <v>56</v>
      </c>
      <c r="D28" s="7" t="s">
        <v>1735</v>
      </c>
      <c r="E28" s="7" t="s">
        <v>1736</v>
      </c>
      <c r="F28" s="7" t="s">
        <v>1737</v>
      </c>
      <c r="G28" s="7" t="n">
        <v>3</v>
      </c>
      <c r="H28" s="7" t="s">
        <v>1742</v>
      </c>
      <c r="I28" s="7" t="s">
        <v>1743</v>
      </c>
      <c r="J28" s="12"/>
      <c r="K28" s="12" t="s">
        <v>40</v>
      </c>
      <c r="L28" s="12"/>
      <c r="M28" s="12"/>
      <c r="N28" s="13"/>
      <c r="O28" s="12"/>
      <c r="P28" s="12"/>
    </row>
    <row r="29" customFormat="false" ht="15" hidden="false" customHeight="false" outlineLevel="0" collapsed="false">
      <c r="A29" s="7" t="s">
        <v>1744</v>
      </c>
      <c r="B29" s="7" t="s">
        <v>1745</v>
      </c>
      <c r="C29" s="7" t="s">
        <v>55</v>
      </c>
      <c r="D29" s="7" t="s">
        <v>1746</v>
      </c>
      <c r="E29" s="7" t="s">
        <v>1747</v>
      </c>
      <c r="F29" s="7" t="s">
        <v>1748</v>
      </c>
      <c r="G29" s="7" t="n">
        <v>1</v>
      </c>
      <c r="H29" s="7" t="s">
        <v>1749</v>
      </c>
      <c r="I29" s="7" t="s">
        <v>1750</v>
      </c>
      <c r="J29" s="12"/>
      <c r="K29" s="12" t="s">
        <v>40</v>
      </c>
      <c r="L29" s="12"/>
      <c r="M29" s="12"/>
      <c r="N29" s="13"/>
      <c r="O29" s="12"/>
      <c r="P29" s="12"/>
    </row>
    <row r="30" customFormat="false" ht="15" hidden="false" customHeight="false" outlineLevel="0" collapsed="false">
      <c r="A30" s="7" t="s">
        <v>1744</v>
      </c>
      <c r="B30" s="7" t="s">
        <v>1745</v>
      </c>
      <c r="C30" s="7" t="s">
        <v>55</v>
      </c>
      <c r="D30" s="7" t="s">
        <v>1746</v>
      </c>
      <c r="E30" s="7" t="s">
        <v>1747</v>
      </c>
      <c r="F30" s="7" t="s">
        <v>1748</v>
      </c>
      <c r="G30" s="7" t="n">
        <v>2</v>
      </c>
      <c r="H30" s="7" t="s">
        <v>1751</v>
      </c>
      <c r="I30" s="7" t="s">
        <v>1752</v>
      </c>
      <c r="J30" s="12"/>
      <c r="K30" s="12" t="s">
        <v>40</v>
      </c>
      <c r="L30" s="12"/>
      <c r="M30" s="12"/>
      <c r="N30" s="13"/>
      <c r="O30" s="12"/>
      <c r="P30" s="12"/>
    </row>
    <row r="31" customFormat="false" ht="15" hidden="false" customHeight="false" outlineLevel="0" collapsed="false">
      <c r="A31" s="7" t="s">
        <v>1744</v>
      </c>
      <c r="B31" s="7" t="s">
        <v>1745</v>
      </c>
      <c r="C31" s="7" t="s">
        <v>55</v>
      </c>
      <c r="D31" s="7" t="s">
        <v>1746</v>
      </c>
      <c r="E31" s="7" t="s">
        <v>1747</v>
      </c>
      <c r="F31" s="7" t="s">
        <v>1748</v>
      </c>
      <c r="G31" s="7" t="n">
        <v>3</v>
      </c>
      <c r="H31" s="7" t="s">
        <v>1753</v>
      </c>
      <c r="I31" s="7" t="s">
        <v>1754</v>
      </c>
      <c r="J31" s="12"/>
      <c r="K31" s="12" t="s">
        <v>40</v>
      </c>
      <c r="L31" s="12"/>
      <c r="M31" s="12"/>
      <c r="N31" s="13"/>
      <c r="O31" s="12"/>
      <c r="P31" s="12"/>
    </row>
    <row r="32" customFormat="false" ht="15" hidden="false" customHeight="false" outlineLevel="0" collapsed="false">
      <c r="A32" s="7" t="s">
        <v>1744</v>
      </c>
      <c r="B32" s="7" t="s">
        <v>1745</v>
      </c>
      <c r="C32" s="7" t="s">
        <v>55</v>
      </c>
      <c r="D32" s="7" t="s">
        <v>1746</v>
      </c>
      <c r="E32" s="7" t="s">
        <v>1747</v>
      </c>
      <c r="F32" s="7" t="s">
        <v>1748</v>
      </c>
      <c r="G32" s="7" t="n">
        <v>4</v>
      </c>
      <c r="H32" s="7" t="s">
        <v>1755</v>
      </c>
      <c r="I32" s="7" t="s">
        <v>1756</v>
      </c>
      <c r="J32" s="12"/>
      <c r="K32" s="12" t="s">
        <v>40</v>
      </c>
      <c r="L32" s="12"/>
      <c r="M32" s="12"/>
      <c r="N32" s="13"/>
      <c r="O32" s="12"/>
      <c r="P32" s="12"/>
    </row>
    <row r="33" customFormat="false" ht="15" hidden="false" customHeight="false" outlineLevel="0" collapsed="false">
      <c r="A33" s="7" t="s">
        <v>1744</v>
      </c>
      <c r="B33" s="7" t="s">
        <v>1745</v>
      </c>
      <c r="C33" s="7" t="s">
        <v>55</v>
      </c>
      <c r="D33" s="7" t="s">
        <v>1746</v>
      </c>
      <c r="E33" s="7" t="s">
        <v>1747</v>
      </c>
      <c r="F33" s="7" t="s">
        <v>1748</v>
      </c>
      <c r="G33" s="7" t="n">
        <v>5</v>
      </c>
      <c r="H33" s="7" t="s">
        <v>1757</v>
      </c>
      <c r="I33" s="7" t="s">
        <v>1758</v>
      </c>
      <c r="J33" s="12"/>
      <c r="K33" s="12" t="s">
        <v>40</v>
      </c>
      <c r="L33" s="12"/>
      <c r="M33" s="12"/>
      <c r="N33" s="13"/>
      <c r="O33" s="12"/>
      <c r="P33" s="12"/>
    </row>
    <row r="34" customFormat="false" ht="22.35" hidden="false" customHeight="false" outlineLevel="0" collapsed="false">
      <c r="A34" s="7" t="s">
        <v>1759</v>
      </c>
      <c r="B34" s="7" t="s">
        <v>1760</v>
      </c>
      <c r="C34" s="7" t="s">
        <v>54</v>
      </c>
      <c r="D34" s="7" t="s">
        <v>1761</v>
      </c>
      <c r="E34" s="7" t="s">
        <v>1762</v>
      </c>
      <c r="F34" s="7" t="s">
        <v>1763</v>
      </c>
      <c r="G34" s="7" t="n">
        <v>1</v>
      </c>
      <c r="H34" s="7" t="s">
        <v>1764</v>
      </c>
      <c r="I34" s="7" t="s">
        <v>1765</v>
      </c>
      <c r="J34" s="12"/>
      <c r="K34" s="12" t="s">
        <v>40</v>
      </c>
      <c r="L34" s="12"/>
      <c r="M34" s="12"/>
      <c r="N34" s="13"/>
      <c r="O34" s="12"/>
      <c r="P34" s="12"/>
    </row>
    <row r="35" customFormat="false" ht="22.35" hidden="false" customHeight="false" outlineLevel="0" collapsed="false">
      <c r="A35" s="7" t="s">
        <v>1759</v>
      </c>
      <c r="B35" s="7" t="s">
        <v>1760</v>
      </c>
      <c r="C35" s="7" t="s">
        <v>54</v>
      </c>
      <c r="D35" s="7" t="s">
        <v>1761</v>
      </c>
      <c r="E35" s="7" t="s">
        <v>1762</v>
      </c>
      <c r="F35" s="7" t="s">
        <v>1763</v>
      </c>
      <c r="G35" s="7" t="n">
        <v>2</v>
      </c>
      <c r="H35" s="7" t="s">
        <v>1766</v>
      </c>
      <c r="I35" s="7" t="s">
        <v>1767</v>
      </c>
      <c r="J35" s="12"/>
      <c r="K35" s="12" t="s">
        <v>40</v>
      </c>
      <c r="L35" s="12"/>
      <c r="M35" s="12"/>
      <c r="N35" s="13"/>
      <c r="O35" s="12"/>
      <c r="P35" s="12"/>
    </row>
    <row r="36" customFormat="false" ht="22.35" hidden="false" customHeight="false" outlineLevel="0" collapsed="false">
      <c r="A36" s="7" t="s">
        <v>1759</v>
      </c>
      <c r="B36" s="7" t="s">
        <v>1760</v>
      </c>
      <c r="C36" s="7" t="s">
        <v>54</v>
      </c>
      <c r="D36" s="7" t="s">
        <v>1761</v>
      </c>
      <c r="E36" s="7" t="s">
        <v>1762</v>
      </c>
      <c r="F36" s="7" t="s">
        <v>1763</v>
      </c>
      <c r="G36" s="7" t="n">
        <v>3</v>
      </c>
      <c r="H36" s="7" t="s">
        <v>1768</v>
      </c>
      <c r="I36" s="7" t="s">
        <v>1769</v>
      </c>
      <c r="J36" s="12"/>
      <c r="K36" s="12" t="s">
        <v>40</v>
      </c>
      <c r="L36" s="12"/>
      <c r="M36" s="12"/>
      <c r="N36" s="13"/>
      <c r="O36" s="12"/>
      <c r="P36" s="12"/>
    </row>
    <row r="37" customFormat="false" ht="22.35" hidden="false" customHeight="false" outlineLevel="0" collapsed="false">
      <c r="A37" s="7" t="s">
        <v>1759</v>
      </c>
      <c r="B37" s="7" t="s">
        <v>1760</v>
      </c>
      <c r="C37" s="7" t="s">
        <v>54</v>
      </c>
      <c r="D37" s="7" t="s">
        <v>1761</v>
      </c>
      <c r="E37" s="7" t="s">
        <v>1762</v>
      </c>
      <c r="F37" s="7" t="s">
        <v>1763</v>
      </c>
      <c r="G37" s="7" t="n">
        <v>4</v>
      </c>
      <c r="H37" s="7" t="s">
        <v>1770</v>
      </c>
      <c r="I37" s="7" t="s">
        <v>1771</v>
      </c>
      <c r="J37" s="12"/>
      <c r="K37" s="12" t="s">
        <v>40</v>
      </c>
      <c r="L37" s="12"/>
      <c r="M37" s="12"/>
      <c r="N37" s="13"/>
      <c r="O37" s="12"/>
      <c r="P37" s="12"/>
    </row>
    <row r="38" customFormat="false" ht="22.35" hidden="false" customHeight="false" outlineLevel="0" collapsed="false">
      <c r="A38" s="7" t="s">
        <v>1772</v>
      </c>
      <c r="B38" s="7" t="s">
        <v>1773</v>
      </c>
      <c r="C38" s="7" t="s">
        <v>54</v>
      </c>
      <c r="D38" s="7" t="s">
        <v>1774</v>
      </c>
      <c r="E38" s="7" t="s">
        <v>1775</v>
      </c>
      <c r="F38" s="7" t="s">
        <v>1776</v>
      </c>
      <c r="G38" s="7" t="n">
        <v>1</v>
      </c>
      <c r="H38" s="7" t="s">
        <v>1777</v>
      </c>
      <c r="I38" s="7" t="s">
        <v>136</v>
      </c>
      <c r="J38" s="12"/>
      <c r="K38" s="12" t="s">
        <v>40</v>
      </c>
      <c r="L38" s="12"/>
      <c r="M38" s="12"/>
      <c r="N38" s="13"/>
      <c r="O38" s="12"/>
      <c r="P38" s="12"/>
    </row>
    <row r="39" customFormat="false" ht="22.35" hidden="false" customHeight="false" outlineLevel="0" collapsed="false">
      <c r="A39" s="7" t="s">
        <v>1772</v>
      </c>
      <c r="B39" s="7" t="s">
        <v>1773</v>
      </c>
      <c r="C39" s="7" t="s">
        <v>54</v>
      </c>
      <c r="D39" s="7" t="s">
        <v>1774</v>
      </c>
      <c r="E39" s="7" t="s">
        <v>1775</v>
      </c>
      <c r="F39" s="7" t="s">
        <v>1776</v>
      </c>
      <c r="G39" s="7" t="n">
        <v>2</v>
      </c>
      <c r="H39" s="7" t="s">
        <v>1778</v>
      </c>
      <c r="I39" s="7" t="s">
        <v>1779</v>
      </c>
      <c r="J39" s="12"/>
      <c r="K39" s="12" t="s">
        <v>40</v>
      </c>
      <c r="L39" s="12"/>
      <c r="M39" s="12"/>
      <c r="N39" s="13"/>
      <c r="O39" s="12"/>
      <c r="P39" s="12"/>
    </row>
    <row r="40" customFormat="false" ht="22.35" hidden="false" customHeight="false" outlineLevel="0" collapsed="false">
      <c r="A40" s="7" t="s">
        <v>1772</v>
      </c>
      <c r="B40" s="7" t="s">
        <v>1773</v>
      </c>
      <c r="C40" s="7" t="s">
        <v>54</v>
      </c>
      <c r="D40" s="7" t="s">
        <v>1774</v>
      </c>
      <c r="E40" s="7" t="s">
        <v>1775</v>
      </c>
      <c r="F40" s="7" t="s">
        <v>1776</v>
      </c>
      <c r="G40" s="7" t="n">
        <v>3</v>
      </c>
      <c r="H40" s="7" t="s">
        <v>1780</v>
      </c>
      <c r="I40" s="7" t="s">
        <v>1781</v>
      </c>
      <c r="J40" s="12"/>
      <c r="K40" s="12" t="s">
        <v>40</v>
      </c>
      <c r="L40" s="12"/>
      <c r="M40" s="12"/>
      <c r="N40" s="13"/>
      <c r="O40" s="12"/>
      <c r="P40" s="12"/>
    </row>
    <row r="41" customFormat="false" ht="22.35" hidden="false" customHeight="false" outlineLevel="0" collapsed="false">
      <c r="A41" s="7" t="s">
        <v>1772</v>
      </c>
      <c r="B41" s="7" t="s">
        <v>1773</v>
      </c>
      <c r="C41" s="7" t="s">
        <v>54</v>
      </c>
      <c r="D41" s="7" t="s">
        <v>1774</v>
      </c>
      <c r="E41" s="7" t="s">
        <v>1775</v>
      </c>
      <c r="F41" s="7" t="s">
        <v>1776</v>
      </c>
      <c r="G41" s="7" t="n">
        <v>4</v>
      </c>
      <c r="H41" s="7" t="s">
        <v>1782</v>
      </c>
      <c r="I41" s="7" t="s">
        <v>1783</v>
      </c>
      <c r="J41" s="12"/>
      <c r="K41" s="12" t="s">
        <v>40</v>
      </c>
      <c r="L41" s="12"/>
      <c r="M41" s="12"/>
      <c r="N41" s="13"/>
      <c r="O41" s="12"/>
      <c r="P41" s="12"/>
    </row>
    <row r="42" customFormat="false" ht="22.35" hidden="false" customHeight="false" outlineLevel="0" collapsed="false">
      <c r="A42" s="7" t="s">
        <v>1772</v>
      </c>
      <c r="B42" s="7" t="s">
        <v>1773</v>
      </c>
      <c r="C42" s="7" t="s">
        <v>54</v>
      </c>
      <c r="D42" s="7" t="s">
        <v>1774</v>
      </c>
      <c r="E42" s="7" t="s">
        <v>1775</v>
      </c>
      <c r="F42" s="7" t="s">
        <v>1776</v>
      </c>
      <c r="G42" s="7" t="n">
        <v>5</v>
      </c>
      <c r="H42" s="7" t="s">
        <v>1784</v>
      </c>
      <c r="I42" s="7" t="s">
        <v>1785</v>
      </c>
      <c r="J42" s="12"/>
      <c r="K42" s="12" t="s">
        <v>40</v>
      </c>
      <c r="L42" s="12"/>
      <c r="M42" s="12"/>
      <c r="N42" s="13"/>
      <c r="O42" s="12"/>
      <c r="P42" s="12"/>
    </row>
    <row r="43" customFormat="false" ht="22.35" hidden="false" customHeight="false" outlineLevel="0" collapsed="false">
      <c r="A43" s="7" t="s">
        <v>1786</v>
      </c>
      <c r="B43" s="7" t="s">
        <v>1787</v>
      </c>
      <c r="C43" s="7" t="s">
        <v>54</v>
      </c>
      <c r="D43" s="7" t="s">
        <v>1788</v>
      </c>
      <c r="E43" s="7" t="s">
        <v>1789</v>
      </c>
      <c r="F43" s="7" t="s">
        <v>1790</v>
      </c>
      <c r="G43" s="7" t="n">
        <v>1</v>
      </c>
      <c r="H43" s="7" t="s">
        <v>1791</v>
      </c>
      <c r="I43" s="7" t="s">
        <v>1792</v>
      </c>
      <c r="J43" s="12"/>
      <c r="K43" s="12" t="s">
        <v>40</v>
      </c>
      <c r="L43" s="12"/>
      <c r="M43" s="12"/>
      <c r="N43" s="13"/>
      <c r="O43" s="12"/>
      <c r="P43" s="12"/>
    </row>
    <row r="44" customFormat="false" ht="22.35" hidden="false" customHeight="false" outlineLevel="0" collapsed="false">
      <c r="A44" s="7" t="s">
        <v>1786</v>
      </c>
      <c r="B44" s="7" t="s">
        <v>1787</v>
      </c>
      <c r="C44" s="7" t="s">
        <v>54</v>
      </c>
      <c r="D44" s="7" t="s">
        <v>1788</v>
      </c>
      <c r="E44" s="7" t="s">
        <v>1789</v>
      </c>
      <c r="F44" s="7" t="s">
        <v>1790</v>
      </c>
      <c r="G44" s="7" t="n">
        <v>2</v>
      </c>
      <c r="H44" s="7" t="s">
        <v>1793</v>
      </c>
      <c r="I44" s="7" t="s">
        <v>1794</v>
      </c>
      <c r="J44" s="12"/>
      <c r="K44" s="12" t="s">
        <v>40</v>
      </c>
      <c r="L44" s="12"/>
      <c r="M44" s="12"/>
      <c r="N44" s="13"/>
      <c r="O44" s="12"/>
      <c r="P44" s="12"/>
    </row>
    <row r="45" customFormat="false" ht="22.35" hidden="false" customHeight="false" outlineLevel="0" collapsed="false">
      <c r="A45" s="7" t="s">
        <v>1786</v>
      </c>
      <c r="B45" s="7" t="s">
        <v>1787</v>
      </c>
      <c r="C45" s="7" t="s">
        <v>54</v>
      </c>
      <c r="D45" s="7" t="s">
        <v>1788</v>
      </c>
      <c r="E45" s="7" t="s">
        <v>1789</v>
      </c>
      <c r="F45" s="7" t="s">
        <v>1790</v>
      </c>
      <c r="G45" s="7" t="n">
        <v>3</v>
      </c>
      <c r="H45" s="7" t="s">
        <v>1795</v>
      </c>
      <c r="I45" s="7" t="s">
        <v>1796</v>
      </c>
      <c r="J45" s="12"/>
      <c r="K45" s="12" t="s">
        <v>40</v>
      </c>
      <c r="L45" s="12"/>
      <c r="M45" s="12"/>
      <c r="N45" s="13"/>
      <c r="O45" s="12"/>
      <c r="P45" s="12"/>
    </row>
    <row r="46" customFormat="false" ht="22.35" hidden="false" customHeight="false" outlineLevel="0" collapsed="false">
      <c r="A46" s="7" t="s">
        <v>1786</v>
      </c>
      <c r="B46" s="7" t="s">
        <v>1787</v>
      </c>
      <c r="C46" s="7" t="s">
        <v>54</v>
      </c>
      <c r="D46" s="7" t="s">
        <v>1788</v>
      </c>
      <c r="E46" s="7" t="s">
        <v>1789</v>
      </c>
      <c r="F46" s="7" t="s">
        <v>1790</v>
      </c>
      <c r="G46" s="7" t="n">
        <v>4</v>
      </c>
      <c r="H46" s="7" t="s">
        <v>1797</v>
      </c>
      <c r="I46" s="7" t="s">
        <v>1798</v>
      </c>
      <c r="J46" s="12"/>
      <c r="K46" s="12" t="s">
        <v>40</v>
      </c>
      <c r="L46" s="12"/>
      <c r="M46" s="12"/>
      <c r="N46" s="13"/>
      <c r="O46" s="12"/>
      <c r="P46" s="12"/>
    </row>
    <row r="47" customFormat="false" ht="22.35" hidden="false" customHeight="false" outlineLevel="0" collapsed="false">
      <c r="A47" s="7" t="s">
        <v>1799</v>
      </c>
      <c r="B47" s="7" t="s">
        <v>1800</v>
      </c>
      <c r="C47" s="7" t="s">
        <v>55</v>
      </c>
      <c r="D47" s="7" t="s">
        <v>1801</v>
      </c>
      <c r="E47" s="7" t="s">
        <v>1802</v>
      </c>
      <c r="F47" s="7" t="s">
        <v>136</v>
      </c>
      <c r="G47" s="7" t="n">
        <v>1</v>
      </c>
      <c r="H47" s="7" t="s">
        <v>1803</v>
      </c>
      <c r="I47" s="7" t="s">
        <v>1804</v>
      </c>
      <c r="J47" s="12"/>
      <c r="K47" s="12" t="s">
        <v>40</v>
      </c>
      <c r="L47" s="12"/>
      <c r="M47" s="12"/>
      <c r="N47" s="13"/>
      <c r="O47" s="12"/>
      <c r="P47" s="12"/>
    </row>
    <row r="48" customFormat="false" ht="22.35" hidden="false" customHeight="false" outlineLevel="0" collapsed="false">
      <c r="A48" s="7" t="s">
        <v>1799</v>
      </c>
      <c r="B48" s="7" t="s">
        <v>1800</v>
      </c>
      <c r="C48" s="7" t="s">
        <v>55</v>
      </c>
      <c r="D48" s="7" t="s">
        <v>1801</v>
      </c>
      <c r="E48" s="7" t="s">
        <v>1802</v>
      </c>
      <c r="F48" s="7" t="s">
        <v>136</v>
      </c>
      <c r="G48" s="7" t="n">
        <v>2</v>
      </c>
      <c r="H48" s="7" t="s">
        <v>1805</v>
      </c>
      <c r="I48" s="7" t="s">
        <v>1806</v>
      </c>
      <c r="J48" s="12"/>
      <c r="K48" s="12" t="s">
        <v>40</v>
      </c>
      <c r="L48" s="12"/>
      <c r="M48" s="12"/>
      <c r="N48" s="13"/>
      <c r="O48" s="12"/>
      <c r="P48" s="12"/>
    </row>
    <row r="49" customFormat="false" ht="22.35" hidden="false" customHeight="false" outlineLevel="0" collapsed="false">
      <c r="A49" s="7" t="s">
        <v>1799</v>
      </c>
      <c r="B49" s="7" t="s">
        <v>1800</v>
      </c>
      <c r="C49" s="7" t="s">
        <v>55</v>
      </c>
      <c r="D49" s="7" t="s">
        <v>1801</v>
      </c>
      <c r="E49" s="7" t="s">
        <v>1802</v>
      </c>
      <c r="F49" s="7" t="s">
        <v>136</v>
      </c>
      <c r="G49" s="7" t="n">
        <v>3</v>
      </c>
      <c r="H49" s="7" t="s">
        <v>1807</v>
      </c>
      <c r="I49" s="7" t="s">
        <v>1808</v>
      </c>
      <c r="J49" s="12"/>
      <c r="K49" s="12" t="s">
        <v>40</v>
      </c>
      <c r="L49" s="12"/>
      <c r="M49" s="12"/>
      <c r="N49" s="13"/>
      <c r="O49" s="12"/>
      <c r="P49" s="12"/>
    </row>
    <row r="50" customFormat="false" ht="22.35" hidden="false" customHeight="false" outlineLevel="0" collapsed="false">
      <c r="A50" s="7" t="s">
        <v>1799</v>
      </c>
      <c r="B50" s="7" t="s">
        <v>1800</v>
      </c>
      <c r="C50" s="7" t="s">
        <v>55</v>
      </c>
      <c r="D50" s="7" t="s">
        <v>1801</v>
      </c>
      <c r="E50" s="7" t="s">
        <v>1802</v>
      </c>
      <c r="F50" s="7" t="s">
        <v>136</v>
      </c>
      <c r="G50" s="7" t="n">
        <v>4</v>
      </c>
      <c r="H50" s="7" t="s">
        <v>1809</v>
      </c>
      <c r="I50" s="7" t="s">
        <v>1810</v>
      </c>
      <c r="J50" s="12"/>
      <c r="K50" s="12" t="s">
        <v>40</v>
      </c>
      <c r="L50" s="12"/>
      <c r="M50" s="12"/>
      <c r="N50" s="13"/>
      <c r="O50" s="12"/>
      <c r="P50" s="12"/>
    </row>
    <row r="51" customFormat="false" ht="22.35" hidden="false" customHeight="false" outlineLevel="0" collapsed="false">
      <c r="A51" s="7" t="s">
        <v>1811</v>
      </c>
      <c r="B51" s="7" t="s">
        <v>1812</v>
      </c>
      <c r="C51" s="7" t="s">
        <v>55</v>
      </c>
      <c r="D51" s="7" t="s">
        <v>1813</v>
      </c>
      <c r="E51" s="7" t="s">
        <v>1814</v>
      </c>
      <c r="F51" s="7" t="s">
        <v>1815</v>
      </c>
      <c r="G51" s="7" t="n">
        <v>1</v>
      </c>
      <c r="H51" s="7" t="s">
        <v>1816</v>
      </c>
      <c r="I51" s="7" t="s">
        <v>1817</v>
      </c>
      <c r="J51" s="12"/>
      <c r="K51" s="12" t="s">
        <v>40</v>
      </c>
      <c r="L51" s="12"/>
      <c r="M51" s="12"/>
      <c r="N51" s="13"/>
      <c r="O51" s="12"/>
      <c r="P51" s="12"/>
    </row>
    <row r="52" customFormat="false" ht="22.35" hidden="false" customHeight="false" outlineLevel="0" collapsed="false">
      <c r="A52" s="7" t="s">
        <v>1811</v>
      </c>
      <c r="B52" s="7" t="s">
        <v>1812</v>
      </c>
      <c r="C52" s="7" t="s">
        <v>55</v>
      </c>
      <c r="D52" s="7" t="s">
        <v>1813</v>
      </c>
      <c r="E52" s="7" t="s">
        <v>1814</v>
      </c>
      <c r="F52" s="7" t="s">
        <v>1815</v>
      </c>
      <c r="G52" s="7" t="n">
        <v>2</v>
      </c>
      <c r="H52" s="7" t="s">
        <v>1818</v>
      </c>
      <c r="I52" s="7" t="s">
        <v>1819</v>
      </c>
      <c r="J52" s="12"/>
      <c r="K52" s="12" t="s">
        <v>40</v>
      </c>
      <c r="L52" s="12"/>
      <c r="M52" s="12"/>
      <c r="N52" s="13"/>
      <c r="O52" s="12"/>
      <c r="P52" s="12"/>
    </row>
    <row r="53" customFormat="false" ht="22.35" hidden="false" customHeight="false" outlineLevel="0" collapsed="false">
      <c r="A53" s="7" t="s">
        <v>1811</v>
      </c>
      <c r="B53" s="7" t="s">
        <v>1812</v>
      </c>
      <c r="C53" s="7" t="s">
        <v>55</v>
      </c>
      <c r="D53" s="7" t="s">
        <v>1813</v>
      </c>
      <c r="E53" s="7" t="s">
        <v>1814</v>
      </c>
      <c r="F53" s="7" t="s">
        <v>1815</v>
      </c>
      <c r="G53" s="7" t="n">
        <v>3</v>
      </c>
      <c r="H53" s="7" t="s">
        <v>1820</v>
      </c>
      <c r="I53" s="7" t="s">
        <v>1821</v>
      </c>
      <c r="J53" s="12"/>
      <c r="K53" s="12" t="s">
        <v>40</v>
      </c>
      <c r="L53" s="12"/>
      <c r="M53" s="12"/>
      <c r="N53" s="13"/>
      <c r="O53" s="12"/>
      <c r="P53" s="12"/>
    </row>
    <row r="54" customFormat="false" ht="22.35" hidden="false" customHeight="false" outlineLevel="0" collapsed="false">
      <c r="A54" s="7" t="s">
        <v>1811</v>
      </c>
      <c r="B54" s="7" t="s">
        <v>1812</v>
      </c>
      <c r="C54" s="7" t="s">
        <v>55</v>
      </c>
      <c r="D54" s="7" t="s">
        <v>1813</v>
      </c>
      <c r="E54" s="7" t="s">
        <v>1814</v>
      </c>
      <c r="F54" s="7" t="s">
        <v>1815</v>
      </c>
      <c r="G54" s="7" t="n">
        <v>4</v>
      </c>
      <c r="H54" s="7" t="s">
        <v>1822</v>
      </c>
      <c r="I54" s="7" t="s">
        <v>1823</v>
      </c>
      <c r="J54" s="12"/>
      <c r="K54" s="12" t="s">
        <v>40</v>
      </c>
      <c r="L54" s="12"/>
      <c r="M54" s="12"/>
      <c r="N54" s="13"/>
      <c r="O54" s="12"/>
      <c r="P54" s="12"/>
    </row>
    <row r="55" customFormat="false" ht="22.35" hidden="false" customHeight="false" outlineLevel="0" collapsed="false">
      <c r="A55" s="7" t="s">
        <v>1811</v>
      </c>
      <c r="B55" s="7" t="s">
        <v>1812</v>
      </c>
      <c r="C55" s="7" t="s">
        <v>55</v>
      </c>
      <c r="D55" s="7" t="s">
        <v>1813</v>
      </c>
      <c r="E55" s="7" t="s">
        <v>1814</v>
      </c>
      <c r="F55" s="7" t="s">
        <v>1815</v>
      </c>
      <c r="G55" s="7" t="n">
        <v>5</v>
      </c>
      <c r="H55" s="7" t="s">
        <v>1824</v>
      </c>
      <c r="I55" s="7" t="s">
        <v>1825</v>
      </c>
      <c r="J55" s="12"/>
      <c r="K55" s="12" t="s">
        <v>40</v>
      </c>
      <c r="L55" s="12"/>
      <c r="M55" s="12"/>
      <c r="N55" s="13"/>
      <c r="O55" s="12"/>
      <c r="P55" s="12"/>
    </row>
    <row r="56" customFormat="false" ht="22.35" hidden="false" customHeight="false" outlineLevel="0" collapsed="false">
      <c r="A56" s="7" t="s">
        <v>1811</v>
      </c>
      <c r="B56" s="7" t="s">
        <v>1812</v>
      </c>
      <c r="C56" s="7" t="s">
        <v>55</v>
      </c>
      <c r="D56" s="7" t="s">
        <v>1813</v>
      </c>
      <c r="E56" s="7" t="s">
        <v>1814</v>
      </c>
      <c r="F56" s="7" t="s">
        <v>1815</v>
      </c>
      <c r="G56" s="7" t="n">
        <v>6</v>
      </c>
      <c r="H56" s="7" t="s">
        <v>1826</v>
      </c>
      <c r="I56" s="7" t="s">
        <v>1827</v>
      </c>
      <c r="J56" s="12"/>
      <c r="K56" s="12" t="s">
        <v>40</v>
      </c>
      <c r="L56" s="12"/>
      <c r="M56" s="12"/>
      <c r="N56" s="13"/>
      <c r="O56" s="12"/>
      <c r="P56" s="12"/>
    </row>
    <row r="57" customFormat="false" ht="22.35" hidden="false" customHeight="false" outlineLevel="0" collapsed="false">
      <c r="A57" s="7" t="s">
        <v>1828</v>
      </c>
      <c r="B57" s="7" t="s">
        <v>1829</v>
      </c>
      <c r="C57" s="7" t="s">
        <v>56</v>
      </c>
      <c r="D57" s="7" t="s">
        <v>1830</v>
      </c>
      <c r="E57" s="7" t="s">
        <v>1831</v>
      </c>
      <c r="F57" s="7" t="s">
        <v>136</v>
      </c>
      <c r="G57" s="7" t="n">
        <v>1</v>
      </c>
      <c r="H57" s="7" t="s">
        <v>1832</v>
      </c>
      <c r="I57" s="7" t="s">
        <v>1833</v>
      </c>
      <c r="J57" s="12"/>
      <c r="K57" s="12" t="s">
        <v>40</v>
      </c>
      <c r="L57" s="12"/>
      <c r="M57" s="12"/>
      <c r="N57" s="13"/>
      <c r="O57" s="12"/>
      <c r="P57" s="12"/>
    </row>
    <row r="58" customFormat="false" ht="22.35" hidden="false" customHeight="false" outlineLevel="0" collapsed="false">
      <c r="A58" s="7" t="s">
        <v>1828</v>
      </c>
      <c r="B58" s="7" t="s">
        <v>1829</v>
      </c>
      <c r="C58" s="7" t="s">
        <v>56</v>
      </c>
      <c r="D58" s="7" t="s">
        <v>1830</v>
      </c>
      <c r="E58" s="7" t="s">
        <v>1831</v>
      </c>
      <c r="F58" s="7" t="s">
        <v>136</v>
      </c>
      <c r="G58" s="7" t="n">
        <v>2</v>
      </c>
      <c r="H58" s="7" t="s">
        <v>1834</v>
      </c>
      <c r="I58" s="7" t="s">
        <v>1835</v>
      </c>
      <c r="J58" s="12"/>
      <c r="K58" s="12" t="s">
        <v>40</v>
      </c>
      <c r="L58" s="12"/>
      <c r="M58" s="12"/>
      <c r="N58" s="13"/>
      <c r="O58" s="12"/>
      <c r="P58" s="12"/>
    </row>
    <row r="59" customFormat="false" ht="22.35" hidden="false" customHeight="false" outlineLevel="0" collapsed="false">
      <c r="A59" s="7" t="s">
        <v>1828</v>
      </c>
      <c r="B59" s="7" t="s">
        <v>1829</v>
      </c>
      <c r="C59" s="7" t="s">
        <v>56</v>
      </c>
      <c r="D59" s="7" t="s">
        <v>1830</v>
      </c>
      <c r="E59" s="7" t="s">
        <v>1831</v>
      </c>
      <c r="F59" s="7" t="s">
        <v>136</v>
      </c>
      <c r="G59" s="7" t="n">
        <v>3</v>
      </c>
      <c r="H59" s="7" t="s">
        <v>1836</v>
      </c>
      <c r="I59" s="7" t="s">
        <v>1837</v>
      </c>
      <c r="J59" s="12"/>
      <c r="K59" s="12" t="s">
        <v>40</v>
      </c>
      <c r="L59" s="12"/>
      <c r="M59" s="12"/>
      <c r="N59" s="13"/>
      <c r="O59" s="12"/>
      <c r="P59" s="12"/>
    </row>
    <row r="60" customFormat="false" ht="22.35" hidden="false" customHeight="false" outlineLevel="0" collapsed="false">
      <c r="A60" s="7" t="s">
        <v>1838</v>
      </c>
      <c r="B60" s="7" t="s">
        <v>1839</v>
      </c>
      <c r="C60" s="7" t="s">
        <v>55</v>
      </c>
      <c r="D60" s="7" t="s">
        <v>1840</v>
      </c>
      <c r="E60" s="7" t="s">
        <v>1841</v>
      </c>
      <c r="F60" s="7" t="s">
        <v>136</v>
      </c>
      <c r="G60" s="7" t="n">
        <v>1</v>
      </c>
      <c r="H60" s="7" t="s">
        <v>1842</v>
      </c>
      <c r="I60" s="7" t="s">
        <v>1843</v>
      </c>
      <c r="J60" s="12"/>
      <c r="K60" s="12" t="s">
        <v>40</v>
      </c>
      <c r="L60" s="12"/>
      <c r="M60" s="12"/>
      <c r="N60" s="13"/>
      <c r="O60" s="12"/>
      <c r="P60" s="12"/>
    </row>
    <row r="61" customFormat="false" ht="22.35" hidden="false" customHeight="false" outlineLevel="0" collapsed="false">
      <c r="A61" s="7" t="s">
        <v>1838</v>
      </c>
      <c r="B61" s="7" t="s">
        <v>1839</v>
      </c>
      <c r="C61" s="7" t="s">
        <v>55</v>
      </c>
      <c r="D61" s="7" t="s">
        <v>1840</v>
      </c>
      <c r="E61" s="7" t="s">
        <v>1841</v>
      </c>
      <c r="F61" s="7" t="s">
        <v>136</v>
      </c>
      <c r="G61" s="7" t="n">
        <v>2</v>
      </c>
      <c r="H61" s="7" t="s">
        <v>1844</v>
      </c>
      <c r="I61" s="7" t="s">
        <v>1845</v>
      </c>
      <c r="J61" s="12"/>
      <c r="K61" s="12" t="s">
        <v>40</v>
      </c>
      <c r="L61" s="12"/>
      <c r="M61" s="12"/>
      <c r="N61" s="13"/>
      <c r="O61" s="12"/>
      <c r="P61" s="12"/>
    </row>
    <row r="62" customFormat="false" ht="22.35" hidden="false" customHeight="false" outlineLevel="0" collapsed="false">
      <c r="A62" s="7" t="s">
        <v>1838</v>
      </c>
      <c r="B62" s="7" t="s">
        <v>1839</v>
      </c>
      <c r="C62" s="7" t="s">
        <v>55</v>
      </c>
      <c r="D62" s="7" t="s">
        <v>1840</v>
      </c>
      <c r="E62" s="7" t="s">
        <v>1841</v>
      </c>
      <c r="F62" s="7" t="s">
        <v>136</v>
      </c>
      <c r="G62" s="7" t="n">
        <v>3</v>
      </c>
      <c r="H62" s="7" t="s">
        <v>1846</v>
      </c>
      <c r="I62" s="7" t="s">
        <v>1847</v>
      </c>
      <c r="J62" s="12"/>
      <c r="K62" s="12" t="s">
        <v>40</v>
      </c>
      <c r="L62" s="12"/>
      <c r="M62" s="12"/>
      <c r="N62" s="13"/>
      <c r="O62" s="12"/>
      <c r="P62" s="12"/>
    </row>
    <row r="63" customFormat="false" ht="22.35" hidden="false" customHeight="false" outlineLevel="0" collapsed="false">
      <c r="A63" s="7" t="s">
        <v>1838</v>
      </c>
      <c r="B63" s="7" t="s">
        <v>1839</v>
      </c>
      <c r="C63" s="7" t="s">
        <v>55</v>
      </c>
      <c r="D63" s="7" t="s">
        <v>1840</v>
      </c>
      <c r="E63" s="7" t="s">
        <v>1841</v>
      </c>
      <c r="F63" s="7" t="s">
        <v>136</v>
      </c>
      <c r="G63" s="7" t="n">
        <v>4</v>
      </c>
      <c r="H63" s="7" t="s">
        <v>1848</v>
      </c>
      <c r="I63" s="7" t="s">
        <v>1849</v>
      </c>
      <c r="J63" s="12"/>
      <c r="K63" s="12" t="s">
        <v>40</v>
      </c>
      <c r="L63" s="12"/>
      <c r="M63" s="12"/>
      <c r="N63" s="13"/>
      <c r="O63" s="12"/>
      <c r="P63" s="12"/>
    </row>
    <row r="64" customFormat="false" ht="22.35" hidden="false" customHeight="false" outlineLevel="0" collapsed="false">
      <c r="A64" s="7" t="s">
        <v>1850</v>
      </c>
      <c r="B64" s="7" t="s">
        <v>1851</v>
      </c>
      <c r="C64" s="7" t="s">
        <v>56</v>
      </c>
      <c r="D64" s="7" t="s">
        <v>1852</v>
      </c>
      <c r="E64" s="7" t="s">
        <v>1853</v>
      </c>
      <c r="F64" s="7" t="s">
        <v>136</v>
      </c>
      <c r="G64" s="7" t="n">
        <v>1</v>
      </c>
      <c r="H64" s="7" t="s">
        <v>1854</v>
      </c>
      <c r="I64" s="7" t="s">
        <v>1855</v>
      </c>
      <c r="J64" s="12"/>
      <c r="K64" s="12" t="s">
        <v>40</v>
      </c>
      <c r="L64" s="12"/>
      <c r="M64" s="12"/>
      <c r="N64" s="13"/>
      <c r="O64" s="12"/>
      <c r="P64" s="12"/>
    </row>
    <row r="65" customFormat="false" ht="22.35" hidden="false" customHeight="false" outlineLevel="0" collapsed="false">
      <c r="A65" s="7" t="s">
        <v>1850</v>
      </c>
      <c r="B65" s="7" t="s">
        <v>1851</v>
      </c>
      <c r="C65" s="7" t="s">
        <v>56</v>
      </c>
      <c r="D65" s="7" t="s">
        <v>1852</v>
      </c>
      <c r="E65" s="7" t="s">
        <v>1853</v>
      </c>
      <c r="F65" s="7" t="s">
        <v>136</v>
      </c>
      <c r="G65" s="7" t="n">
        <v>2</v>
      </c>
      <c r="H65" s="7" t="s">
        <v>1856</v>
      </c>
      <c r="I65" s="7" t="s">
        <v>1857</v>
      </c>
      <c r="J65" s="12"/>
      <c r="K65" s="12" t="s">
        <v>40</v>
      </c>
      <c r="L65" s="12"/>
      <c r="M65" s="12"/>
      <c r="N65" s="13"/>
      <c r="O65" s="12"/>
      <c r="P65" s="12"/>
    </row>
    <row r="66" customFormat="false" ht="22.35" hidden="false" customHeight="false" outlineLevel="0" collapsed="false">
      <c r="A66" s="7" t="s">
        <v>1850</v>
      </c>
      <c r="B66" s="7" t="s">
        <v>1851</v>
      </c>
      <c r="C66" s="7" t="s">
        <v>56</v>
      </c>
      <c r="D66" s="7" t="s">
        <v>1852</v>
      </c>
      <c r="E66" s="7" t="s">
        <v>1853</v>
      </c>
      <c r="F66" s="7" t="s">
        <v>136</v>
      </c>
      <c r="G66" s="7" t="n">
        <v>3</v>
      </c>
      <c r="H66" s="7" t="s">
        <v>1858</v>
      </c>
      <c r="I66" s="7" t="s">
        <v>1859</v>
      </c>
      <c r="J66" s="12"/>
      <c r="K66" s="12" t="s">
        <v>40</v>
      </c>
      <c r="L66" s="12"/>
      <c r="M66" s="12"/>
      <c r="N66" s="13"/>
      <c r="O66" s="12"/>
      <c r="P66" s="12"/>
    </row>
    <row r="67" customFormat="false" ht="22.35" hidden="false" customHeight="false" outlineLevel="0" collapsed="false">
      <c r="A67" s="7" t="s">
        <v>1860</v>
      </c>
      <c r="B67" s="7" t="s">
        <v>1861</v>
      </c>
      <c r="C67" s="7" t="s">
        <v>56</v>
      </c>
      <c r="D67" s="7" t="s">
        <v>1862</v>
      </c>
      <c r="E67" s="7" t="s">
        <v>1863</v>
      </c>
      <c r="F67" s="7" t="s">
        <v>1864</v>
      </c>
      <c r="G67" s="7" t="n">
        <v>1</v>
      </c>
      <c r="H67" s="7" t="s">
        <v>1865</v>
      </c>
      <c r="I67" s="7" t="s">
        <v>136</v>
      </c>
      <c r="J67" s="12"/>
      <c r="K67" s="12" t="s">
        <v>40</v>
      </c>
      <c r="L67" s="12"/>
      <c r="M67" s="12"/>
      <c r="N67" s="13"/>
      <c r="O67" s="12"/>
      <c r="P67" s="12"/>
    </row>
    <row r="68" customFormat="false" ht="22.35" hidden="false" customHeight="false" outlineLevel="0" collapsed="false">
      <c r="A68" s="7" t="s">
        <v>1860</v>
      </c>
      <c r="B68" s="7" t="s">
        <v>1861</v>
      </c>
      <c r="C68" s="7" t="s">
        <v>56</v>
      </c>
      <c r="D68" s="7" t="s">
        <v>1862</v>
      </c>
      <c r="E68" s="7" t="s">
        <v>1863</v>
      </c>
      <c r="F68" s="7" t="s">
        <v>1864</v>
      </c>
      <c r="G68" s="7" t="n">
        <v>2</v>
      </c>
      <c r="H68" s="7" t="s">
        <v>1866</v>
      </c>
      <c r="I68" s="7" t="s">
        <v>1867</v>
      </c>
      <c r="J68" s="12"/>
      <c r="K68" s="12" t="s">
        <v>40</v>
      </c>
      <c r="L68" s="12"/>
      <c r="M68" s="12"/>
      <c r="N68" s="13"/>
      <c r="O68" s="12"/>
      <c r="P68" s="12"/>
    </row>
    <row r="69" customFormat="false" ht="22.35" hidden="false" customHeight="false" outlineLevel="0" collapsed="false">
      <c r="A69" s="7" t="s">
        <v>1860</v>
      </c>
      <c r="B69" s="7" t="s">
        <v>1861</v>
      </c>
      <c r="C69" s="7" t="s">
        <v>56</v>
      </c>
      <c r="D69" s="7" t="s">
        <v>1862</v>
      </c>
      <c r="E69" s="7" t="s">
        <v>1863</v>
      </c>
      <c r="F69" s="7" t="s">
        <v>1864</v>
      </c>
      <c r="G69" s="7" t="n">
        <v>3</v>
      </c>
      <c r="H69" s="7" t="s">
        <v>1868</v>
      </c>
      <c r="I69" s="7" t="s">
        <v>1869</v>
      </c>
      <c r="J69" s="12"/>
      <c r="K69" s="12" t="s">
        <v>40</v>
      </c>
      <c r="L69" s="12"/>
      <c r="M69" s="12"/>
      <c r="N69" s="13"/>
      <c r="O69" s="12"/>
      <c r="P69" s="12"/>
    </row>
    <row r="70" customFormat="false" ht="22.35" hidden="false" customHeight="false" outlineLevel="0" collapsed="false">
      <c r="A70" s="7" t="s">
        <v>1870</v>
      </c>
      <c r="B70" s="7" t="s">
        <v>1871</v>
      </c>
      <c r="C70" s="7" t="s">
        <v>56</v>
      </c>
      <c r="D70" s="7" t="s">
        <v>1872</v>
      </c>
      <c r="E70" s="7" t="s">
        <v>1873</v>
      </c>
      <c r="F70" s="7" t="s">
        <v>1874</v>
      </c>
      <c r="G70" s="7" t="n">
        <v>1</v>
      </c>
      <c r="H70" s="7" t="s">
        <v>1875</v>
      </c>
      <c r="I70" s="7" t="s">
        <v>1876</v>
      </c>
      <c r="J70" s="12"/>
      <c r="K70" s="12" t="s">
        <v>40</v>
      </c>
      <c r="L70" s="12"/>
      <c r="M70" s="12"/>
      <c r="N70" s="13"/>
      <c r="O70" s="12"/>
      <c r="P70" s="12"/>
    </row>
    <row r="71" customFormat="false" ht="22.35" hidden="false" customHeight="false" outlineLevel="0" collapsed="false">
      <c r="A71" s="7" t="s">
        <v>1870</v>
      </c>
      <c r="B71" s="7" t="s">
        <v>1871</v>
      </c>
      <c r="C71" s="7" t="s">
        <v>56</v>
      </c>
      <c r="D71" s="7" t="s">
        <v>1872</v>
      </c>
      <c r="E71" s="7" t="s">
        <v>1873</v>
      </c>
      <c r="F71" s="7" t="s">
        <v>1874</v>
      </c>
      <c r="G71" s="7" t="n">
        <v>2</v>
      </c>
      <c r="H71" s="7" t="s">
        <v>1877</v>
      </c>
      <c r="I71" s="7" t="s">
        <v>1878</v>
      </c>
      <c r="J71" s="12"/>
      <c r="K71" s="12" t="s">
        <v>40</v>
      </c>
      <c r="L71" s="12"/>
      <c r="M71" s="12"/>
      <c r="N71" s="13"/>
      <c r="O71" s="12"/>
      <c r="P71" s="12"/>
    </row>
    <row r="72" customFormat="false" ht="22.35" hidden="false" customHeight="false" outlineLevel="0" collapsed="false">
      <c r="A72" s="7" t="s">
        <v>1870</v>
      </c>
      <c r="B72" s="7" t="s">
        <v>1871</v>
      </c>
      <c r="C72" s="7" t="s">
        <v>56</v>
      </c>
      <c r="D72" s="7" t="s">
        <v>1872</v>
      </c>
      <c r="E72" s="7" t="s">
        <v>1873</v>
      </c>
      <c r="F72" s="7" t="s">
        <v>1874</v>
      </c>
      <c r="G72" s="7" t="n">
        <v>3</v>
      </c>
      <c r="H72" s="7" t="s">
        <v>1879</v>
      </c>
      <c r="I72" s="7" t="s">
        <v>1880</v>
      </c>
      <c r="J72" s="12"/>
      <c r="K72" s="12" t="s">
        <v>40</v>
      </c>
      <c r="L72" s="12"/>
      <c r="M72" s="12"/>
      <c r="N72" s="13"/>
      <c r="O72" s="12"/>
      <c r="P72" s="12"/>
    </row>
    <row r="73" customFormat="false" ht="15" hidden="false" customHeight="false" outlineLevel="0" collapsed="false">
      <c r="A73" s="7" t="s">
        <v>1881</v>
      </c>
      <c r="B73" s="7" t="s">
        <v>1882</v>
      </c>
      <c r="C73" s="7" t="s">
        <v>57</v>
      </c>
      <c r="D73" s="7" t="s">
        <v>1883</v>
      </c>
      <c r="E73" s="7" t="s">
        <v>1884</v>
      </c>
      <c r="F73" s="7" t="s">
        <v>1885</v>
      </c>
      <c r="G73" s="7" t="n">
        <v>1</v>
      </c>
      <c r="H73" s="7" t="s">
        <v>1886</v>
      </c>
      <c r="I73" s="7" t="s">
        <v>1887</v>
      </c>
      <c r="J73" s="12"/>
      <c r="K73" s="12" t="s">
        <v>40</v>
      </c>
      <c r="L73" s="12"/>
      <c r="M73" s="12"/>
      <c r="N73" s="13"/>
      <c r="O73" s="12"/>
      <c r="P73" s="12"/>
    </row>
    <row r="74" customFormat="false" ht="15" hidden="false" customHeight="false" outlineLevel="0" collapsed="false">
      <c r="A74" s="7" t="s">
        <v>1881</v>
      </c>
      <c r="B74" s="7" t="s">
        <v>1882</v>
      </c>
      <c r="C74" s="7" t="s">
        <v>57</v>
      </c>
      <c r="D74" s="7" t="s">
        <v>1883</v>
      </c>
      <c r="E74" s="7" t="s">
        <v>1884</v>
      </c>
      <c r="F74" s="7" t="s">
        <v>1885</v>
      </c>
      <c r="G74" s="7" t="n">
        <v>2</v>
      </c>
      <c r="H74" s="7" t="s">
        <v>1888</v>
      </c>
      <c r="I74" s="7" t="s">
        <v>1889</v>
      </c>
      <c r="J74" s="12"/>
      <c r="K74" s="12" t="s">
        <v>40</v>
      </c>
      <c r="L74" s="12"/>
      <c r="M74" s="12"/>
      <c r="N74" s="13"/>
      <c r="O74" s="12"/>
      <c r="P74" s="12"/>
    </row>
    <row r="75" customFormat="false" ht="15" hidden="false" customHeight="false" outlineLevel="0" collapsed="false">
      <c r="A75" s="7" t="s">
        <v>1881</v>
      </c>
      <c r="B75" s="7" t="s">
        <v>1882</v>
      </c>
      <c r="C75" s="7" t="s">
        <v>57</v>
      </c>
      <c r="D75" s="7" t="s">
        <v>1883</v>
      </c>
      <c r="E75" s="7" t="s">
        <v>1884</v>
      </c>
      <c r="F75" s="7" t="s">
        <v>1885</v>
      </c>
      <c r="G75" s="7" t="n">
        <v>3</v>
      </c>
      <c r="H75" s="7" t="s">
        <v>1890</v>
      </c>
      <c r="I75" s="7" t="s">
        <v>1891</v>
      </c>
      <c r="J75" s="12"/>
      <c r="K75" s="12" t="s">
        <v>40</v>
      </c>
      <c r="L75" s="12"/>
      <c r="M75" s="12"/>
      <c r="N75" s="13"/>
      <c r="O75" s="12"/>
      <c r="P75" s="12"/>
    </row>
    <row r="76" customFormat="false" ht="15" hidden="false" customHeight="false" outlineLevel="0" collapsed="false">
      <c r="A76" s="7" t="s">
        <v>1881</v>
      </c>
      <c r="B76" s="7" t="s">
        <v>1882</v>
      </c>
      <c r="C76" s="7" t="s">
        <v>57</v>
      </c>
      <c r="D76" s="7" t="s">
        <v>1883</v>
      </c>
      <c r="E76" s="7" t="s">
        <v>1884</v>
      </c>
      <c r="F76" s="7" t="s">
        <v>1885</v>
      </c>
      <c r="G76" s="7" t="n">
        <v>4</v>
      </c>
      <c r="H76" s="7" t="s">
        <v>1892</v>
      </c>
      <c r="I76" s="7" t="s">
        <v>1893</v>
      </c>
      <c r="J76" s="12"/>
      <c r="K76" s="12" t="s">
        <v>40</v>
      </c>
      <c r="L76" s="12"/>
      <c r="M76" s="12"/>
      <c r="N76" s="13"/>
      <c r="O76" s="12"/>
      <c r="P76" s="12"/>
    </row>
    <row r="77" customFormat="false" ht="15" hidden="false" customHeight="false" outlineLevel="0" collapsed="false">
      <c r="A77" s="7" t="s">
        <v>1894</v>
      </c>
      <c r="B77" s="7" t="s">
        <v>1895</v>
      </c>
      <c r="C77" s="7" t="s">
        <v>56</v>
      </c>
      <c r="D77" s="7" t="s">
        <v>1896</v>
      </c>
      <c r="E77" s="7" t="s">
        <v>1897</v>
      </c>
      <c r="F77" s="7" t="s">
        <v>136</v>
      </c>
      <c r="G77" s="7" t="n">
        <v>1</v>
      </c>
      <c r="H77" s="7" t="s">
        <v>1314</v>
      </c>
      <c r="I77" s="7" t="s">
        <v>1898</v>
      </c>
      <c r="J77" s="12"/>
      <c r="K77" s="12" t="s">
        <v>40</v>
      </c>
      <c r="L77" s="12"/>
      <c r="M77" s="12"/>
      <c r="N77" s="13"/>
      <c r="O77" s="12"/>
      <c r="P77" s="12"/>
    </row>
    <row r="78" customFormat="false" ht="15" hidden="false" customHeight="false" outlineLevel="0" collapsed="false">
      <c r="A78" s="7" t="s">
        <v>1894</v>
      </c>
      <c r="B78" s="7" t="s">
        <v>1895</v>
      </c>
      <c r="C78" s="7" t="s">
        <v>56</v>
      </c>
      <c r="D78" s="7" t="s">
        <v>1896</v>
      </c>
      <c r="E78" s="7" t="s">
        <v>1897</v>
      </c>
      <c r="F78" s="7" t="s">
        <v>136</v>
      </c>
      <c r="G78" s="7" t="n">
        <v>2</v>
      </c>
      <c r="H78" s="7" t="s">
        <v>1324</v>
      </c>
      <c r="I78" s="7" t="s">
        <v>1899</v>
      </c>
      <c r="J78" s="12"/>
      <c r="K78" s="12" t="s">
        <v>40</v>
      </c>
      <c r="L78" s="12"/>
      <c r="M78" s="12"/>
      <c r="N78" s="13"/>
      <c r="O78" s="12"/>
      <c r="P78" s="12"/>
    </row>
    <row r="79" customFormat="false" ht="15" hidden="false" customHeight="false" outlineLevel="0" collapsed="false">
      <c r="A79" s="7" t="s">
        <v>1894</v>
      </c>
      <c r="B79" s="7" t="s">
        <v>1895</v>
      </c>
      <c r="C79" s="7" t="s">
        <v>56</v>
      </c>
      <c r="D79" s="7" t="s">
        <v>1896</v>
      </c>
      <c r="E79" s="7" t="s">
        <v>1897</v>
      </c>
      <c r="F79" s="7" t="s">
        <v>136</v>
      </c>
      <c r="G79" s="7" t="n">
        <v>3</v>
      </c>
      <c r="H79" s="7" t="s">
        <v>1900</v>
      </c>
      <c r="I79" s="7" t="s">
        <v>1901</v>
      </c>
      <c r="J79" s="12"/>
      <c r="K79" s="12" t="s">
        <v>40</v>
      </c>
      <c r="L79" s="12"/>
      <c r="M79" s="12"/>
      <c r="N79" s="13"/>
      <c r="O79" s="12"/>
      <c r="P79" s="12"/>
    </row>
    <row r="80" customFormat="false" ht="15" hidden="false" customHeight="false" outlineLevel="0" collapsed="false">
      <c r="A80" s="7" t="s">
        <v>1894</v>
      </c>
      <c r="B80" s="7" t="s">
        <v>1895</v>
      </c>
      <c r="C80" s="7" t="s">
        <v>56</v>
      </c>
      <c r="D80" s="7" t="s">
        <v>1896</v>
      </c>
      <c r="E80" s="7" t="s">
        <v>1897</v>
      </c>
      <c r="F80" s="7" t="s">
        <v>136</v>
      </c>
      <c r="G80" s="7" t="n">
        <v>4</v>
      </c>
      <c r="H80" s="7" t="s">
        <v>1902</v>
      </c>
      <c r="I80" s="7" t="s">
        <v>1903</v>
      </c>
      <c r="J80" s="12"/>
      <c r="K80" s="12" t="s">
        <v>40</v>
      </c>
      <c r="L80" s="12"/>
      <c r="M80" s="12"/>
      <c r="N80" s="13"/>
      <c r="O80" s="12"/>
      <c r="P80" s="12"/>
    </row>
    <row r="81" customFormat="false" ht="15" hidden="false" customHeight="false" outlineLevel="0" collapsed="false">
      <c r="A81" s="7" t="s">
        <v>1894</v>
      </c>
      <c r="B81" s="7" t="s">
        <v>1895</v>
      </c>
      <c r="C81" s="7" t="s">
        <v>56</v>
      </c>
      <c r="D81" s="7" t="s">
        <v>1896</v>
      </c>
      <c r="E81" s="7" t="s">
        <v>1897</v>
      </c>
      <c r="F81" s="7" t="s">
        <v>136</v>
      </c>
      <c r="G81" s="7" t="n">
        <v>5</v>
      </c>
      <c r="H81" s="7" t="s">
        <v>1904</v>
      </c>
      <c r="I81" s="7" t="s">
        <v>1905</v>
      </c>
      <c r="J81" s="12"/>
      <c r="K81" s="12" t="s">
        <v>40</v>
      </c>
      <c r="L81" s="12"/>
      <c r="M81" s="12"/>
      <c r="N81" s="13"/>
      <c r="O81" s="12"/>
      <c r="P81" s="12"/>
    </row>
    <row r="82" customFormat="false" ht="22.35" hidden="false" customHeight="false" outlineLevel="0" collapsed="false">
      <c r="A82" s="7" t="s">
        <v>1906</v>
      </c>
      <c r="B82" s="7" t="s">
        <v>1907</v>
      </c>
      <c r="C82" s="7" t="s">
        <v>55</v>
      </c>
      <c r="D82" s="7" t="s">
        <v>1908</v>
      </c>
      <c r="E82" s="7" t="s">
        <v>1909</v>
      </c>
      <c r="F82" s="7" t="s">
        <v>136</v>
      </c>
      <c r="G82" s="7" t="n">
        <v>1</v>
      </c>
      <c r="H82" s="7" t="s">
        <v>1910</v>
      </c>
      <c r="I82" s="7" t="s">
        <v>1911</v>
      </c>
      <c r="J82" s="12"/>
      <c r="K82" s="12" t="s">
        <v>40</v>
      </c>
      <c r="L82" s="12"/>
      <c r="M82" s="12"/>
      <c r="N82" s="13"/>
      <c r="O82" s="12"/>
      <c r="P82" s="12"/>
    </row>
    <row r="83" customFormat="false" ht="22.35" hidden="false" customHeight="false" outlineLevel="0" collapsed="false">
      <c r="A83" s="7" t="s">
        <v>1906</v>
      </c>
      <c r="B83" s="7" t="s">
        <v>1907</v>
      </c>
      <c r="C83" s="7" t="s">
        <v>55</v>
      </c>
      <c r="D83" s="7" t="s">
        <v>1908</v>
      </c>
      <c r="E83" s="7" t="s">
        <v>1909</v>
      </c>
      <c r="F83" s="7" t="s">
        <v>136</v>
      </c>
      <c r="G83" s="7" t="n">
        <v>2</v>
      </c>
      <c r="H83" s="7" t="s">
        <v>1912</v>
      </c>
      <c r="I83" s="7" t="s">
        <v>1913</v>
      </c>
      <c r="J83" s="12"/>
      <c r="K83" s="12" t="s">
        <v>40</v>
      </c>
      <c r="L83" s="12"/>
      <c r="M83" s="12"/>
      <c r="N83" s="13"/>
      <c r="O83" s="12"/>
      <c r="P83" s="12"/>
    </row>
    <row r="84" customFormat="false" ht="22.35" hidden="false" customHeight="false" outlineLevel="0" collapsed="false">
      <c r="A84" s="7" t="s">
        <v>1906</v>
      </c>
      <c r="B84" s="7" t="s">
        <v>1907</v>
      </c>
      <c r="C84" s="7" t="s">
        <v>55</v>
      </c>
      <c r="D84" s="7" t="s">
        <v>1908</v>
      </c>
      <c r="E84" s="7" t="s">
        <v>1909</v>
      </c>
      <c r="F84" s="7" t="s">
        <v>136</v>
      </c>
      <c r="G84" s="7" t="n">
        <v>3</v>
      </c>
      <c r="H84" s="7" t="s">
        <v>1914</v>
      </c>
      <c r="I84" s="7" t="s">
        <v>1915</v>
      </c>
      <c r="J84" s="12"/>
      <c r="K84" s="12" t="s">
        <v>40</v>
      </c>
      <c r="L84" s="12"/>
      <c r="M84" s="12"/>
      <c r="N84" s="13"/>
      <c r="O84" s="12"/>
      <c r="P84" s="12"/>
    </row>
    <row r="85" customFormat="false" ht="22.35" hidden="false" customHeight="false" outlineLevel="0" collapsed="false">
      <c r="A85" s="7" t="s">
        <v>1906</v>
      </c>
      <c r="B85" s="7" t="s">
        <v>1907</v>
      </c>
      <c r="C85" s="7" t="s">
        <v>55</v>
      </c>
      <c r="D85" s="7" t="s">
        <v>1908</v>
      </c>
      <c r="E85" s="7" t="s">
        <v>1909</v>
      </c>
      <c r="F85" s="7" t="s">
        <v>136</v>
      </c>
      <c r="G85" s="7" t="n">
        <v>4</v>
      </c>
      <c r="H85" s="7" t="s">
        <v>1916</v>
      </c>
      <c r="I85" s="7" t="s">
        <v>1917</v>
      </c>
      <c r="J85" s="12"/>
      <c r="K85" s="12" t="s">
        <v>40</v>
      </c>
      <c r="L85" s="12"/>
      <c r="M85" s="12"/>
      <c r="N85" s="13"/>
      <c r="O85" s="12"/>
      <c r="P85" s="12"/>
    </row>
    <row r="86" customFormat="false" ht="22.35" hidden="false" customHeight="false" outlineLevel="0" collapsed="false">
      <c r="A86" s="7" t="s">
        <v>1918</v>
      </c>
      <c r="B86" s="7" t="s">
        <v>1919</v>
      </c>
      <c r="C86" s="7" t="s">
        <v>56</v>
      </c>
      <c r="D86" s="7" t="s">
        <v>1920</v>
      </c>
      <c r="E86" s="7" t="s">
        <v>1921</v>
      </c>
      <c r="F86" s="7" t="s">
        <v>136</v>
      </c>
      <c r="G86" s="7" t="n">
        <v>1</v>
      </c>
      <c r="H86" s="7" t="s">
        <v>1922</v>
      </c>
      <c r="I86" s="7" t="s">
        <v>1923</v>
      </c>
      <c r="J86" s="12"/>
      <c r="K86" s="12" t="s">
        <v>40</v>
      </c>
      <c r="L86" s="12"/>
      <c r="M86" s="12"/>
      <c r="N86" s="13"/>
      <c r="O86" s="12"/>
      <c r="P86" s="12"/>
    </row>
    <row r="87" customFormat="false" ht="22.35" hidden="false" customHeight="false" outlineLevel="0" collapsed="false">
      <c r="A87" s="7" t="s">
        <v>1918</v>
      </c>
      <c r="B87" s="7" t="s">
        <v>1919</v>
      </c>
      <c r="C87" s="7" t="s">
        <v>56</v>
      </c>
      <c r="D87" s="7" t="s">
        <v>1920</v>
      </c>
      <c r="E87" s="7" t="s">
        <v>1921</v>
      </c>
      <c r="F87" s="7" t="s">
        <v>136</v>
      </c>
      <c r="G87" s="7" t="n">
        <v>2</v>
      </c>
      <c r="H87" s="7" t="s">
        <v>1924</v>
      </c>
      <c r="I87" s="7" t="s">
        <v>1925</v>
      </c>
      <c r="J87" s="12"/>
      <c r="K87" s="12" t="s">
        <v>40</v>
      </c>
      <c r="L87" s="12"/>
      <c r="M87" s="12"/>
      <c r="N87" s="13"/>
      <c r="O87" s="12"/>
      <c r="P87" s="12"/>
    </row>
    <row r="88" customFormat="false" ht="22.35" hidden="false" customHeight="false" outlineLevel="0" collapsed="false">
      <c r="A88" s="7" t="s">
        <v>1918</v>
      </c>
      <c r="B88" s="7" t="s">
        <v>1919</v>
      </c>
      <c r="C88" s="7" t="s">
        <v>56</v>
      </c>
      <c r="D88" s="7" t="s">
        <v>1920</v>
      </c>
      <c r="E88" s="7" t="s">
        <v>1921</v>
      </c>
      <c r="F88" s="7" t="s">
        <v>136</v>
      </c>
      <c r="G88" s="7" t="n">
        <v>3</v>
      </c>
      <c r="H88" s="7" t="s">
        <v>1926</v>
      </c>
      <c r="I88" s="7" t="s">
        <v>1927</v>
      </c>
      <c r="J88" s="12"/>
      <c r="K88" s="12" t="s">
        <v>40</v>
      </c>
      <c r="L88" s="12"/>
      <c r="M88" s="12"/>
      <c r="N88" s="13"/>
      <c r="O88" s="12"/>
      <c r="P88" s="12"/>
    </row>
    <row r="89" customFormat="false" ht="22.35" hidden="false" customHeight="false" outlineLevel="0" collapsed="false">
      <c r="A89" s="7" t="s">
        <v>1918</v>
      </c>
      <c r="B89" s="7" t="s">
        <v>1919</v>
      </c>
      <c r="C89" s="7" t="s">
        <v>56</v>
      </c>
      <c r="D89" s="7" t="s">
        <v>1920</v>
      </c>
      <c r="E89" s="7" t="s">
        <v>1921</v>
      </c>
      <c r="F89" s="7" t="s">
        <v>136</v>
      </c>
      <c r="G89" s="7" t="n">
        <v>4</v>
      </c>
      <c r="H89" s="7" t="s">
        <v>1928</v>
      </c>
      <c r="I89" s="7" t="s">
        <v>1929</v>
      </c>
      <c r="J89" s="12"/>
      <c r="K89" s="12" t="s">
        <v>40</v>
      </c>
      <c r="L89" s="12"/>
      <c r="M89" s="12"/>
      <c r="N89" s="13"/>
      <c r="O89" s="12"/>
      <c r="P89" s="12"/>
    </row>
    <row r="90" customFormat="false" ht="22.35" hidden="false" customHeight="false" outlineLevel="0" collapsed="false">
      <c r="A90" s="7" t="s">
        <v>1930</v>
      </c>
      <c r="B90" s="7" t="s">
        <v>1931</v>
      </c>
      <c r="C90" s="7" t="s">
        <v>55</v>
      </c>
      <c r="D90" s="7" t="s">
        <v>1932</v>
      </c>
      <c r="E90" s="7" t="s">
        <v>1933</v>
      </c>
      <c r="F90" s="7" t="s">
        <v>136</v>
      </c>
      <c r="G90" s="7" t="n">
        <v>1</v>
      </c>
      <c r="H90" s="7" t="s">
        <v>1934</v>
      </c>
      <c r="I90" s="7" t="s">
        <v>1935</v>
      </c>
      <c r="J90" s="12"/>
      <c r="K90" s="12" t="s">
        <v>40</v>
      </c>
      <c r="L90" s="12"/>
      <c r="M90" s="12"/>
      <c r="N90" s="13"/>
      <c r="O90" s="12"/>
      <c r="P90" s="12"/>
    </row>
    <row r="91" customFormat="false" ht="22.35" hidden="false" customHeight="false" outlineLevel="0" collapsed="false">
      <c r="A91" s="7" t="s">
        <v>1930</v>
      </c>
      <c r="B91" s="7" t="s">
        <v>1931</v>
      </c>
      <c r="C91" s="7" t="s">
        <v>55</v>
      </c>
      <c r="D91" s="7" t="s">
        <v>1932</v>
      </c>
      <c r="E91" s="7" t="s">
        <v>1933</v>
      </c>
      <c r="F91" s="7" t="s">
        <v>136</v>
      </c>
      <c r="G91" s="7" t="n">
        <v>2</v>
      </c>
      <c r="H91" s="7" t="s">
        <v>1936</v>
      </c>
      <c r="I91" s="7" t="s">
        <v>1559</v>
      </c>
      <c r="J91" s="12"/>
      <c r="K91" s="12" t="s">
        <v>40</v>
      </c>
      <c r="L91" s="12"/>
      <c r="M91" s="12"/>
      <c r="N91" s="13"/>
      <c r="O91" s="12"/>
      <c r="P91" s="12"/>
    </row>
    <row r="92" customFormat="false" ht="22.35" hidden="false" customHeight="false" outlineLevel="0" collapsed="false">
      <c r="A92" s="7" t="s">
        <v>1937</v>
      </c>
      <c r="B92" s="7" t="s">
        <v>1938</v>
      </c>
      <c r="C92" s="7" t="s">
        <v>54</v>
      </c>
      <c r="D92" s="7" t="s">
        <v>1939</v>
      </c>
      <c r="E92" s="7" t="s">
        <v>1940</v>
      </c>
      <c r="F92" s="7" t="s">
        <v>1941</v>
      </c>
      <c r="G92" s="7" t="n">
        <v>1</v>
      </c>
      <c r="H92" s="7" t="s">
        <v>1942</v>
      </c>
      <c r="I92" s="7" t="s">
        <v>1943</v>
      </c>
      <c r="J92" s="12"/>
      <c r="K92" s="12" t="s">
        <v>40</v>
      </c>
      <c r="L92" s="12"/>
      <c r="M92" s="12"/>
      <c r="N92" s="13"/>
      <c r="O92" s="12"/>
      <c r="P92" s="12"/>
    </row>
    <row r="93" customFormat="false" ht="22.35" hidden="false" customHeight="false" outlineLevel="0" collapsed="false">
      <c r="A93" s="7" t="s">
        <v>1937</v>
      </c>
      <c r="B93" s="7" t="s">
        <v>1938</v>
      </c>
      <c r="C93" s="7" t="s">
        <v>54</v>
      </c>
      <c r="D93" s="7" t="s">
        <v>1939</v>
      </c>
      <c r="E93" s="7" t="s">
        <v>1940</v>
      </c>
      <c r="F93" s="7" t="s">
        <v>1941</v>
      </c>
      <c r="G93" s="7" t="n">
        <v>2</v>
      </c>
      <c r="H93" s="7" t="s">
        <v>1944</v>
      </c>
      <c r="I93" s="7" t="s">
        <v>1945</v>
      </c>
      <c r="J93" s="12"/>
      <c r="K93" s="12" t="s">
        <v>40</v>
      </c>
      <c r="L93" s="12"/>
      <c r="M93" s="12"/>
      <c r="N93" s="13"/>
      <c r="O93" s="12"/>
      <c r="P93" s="12"/>
    </row>
    <row r="94" customFormat="false" ht="22.35" hidden="false" customHeight="false" outlineLevel="0" collapsed="false">
      <c r="A94" s="7" t="s">
        <v>1937</v>
      </c>
      <c r="B94" s="7" t="s">
        <v>1938</v>
      </c>
      <c r="C94" s="7" t="s">
        <v>54</v>
      </c>
      <c r="D94" s="7" t="s">
        <v>1939</v>
      </c>
      <c r="E94" s="7" t="s">
        <v>1940</v>
      </c>
      <c r="F94" s="7" t="s">
        <v>1941</v>
      </c>
      <c r="G94" s="7" t="n">
        <v>3</v>
      </c>
      <c r="H94" s="7" t="s">
        <v>1946</v>
      </c>
      <c r="I94" s="7" t="s">
        <v>1947</v>
      </c>
      <c r="J94" s="12"/>
      <c r="K94" s="12" t="s">
        <v>40</v>
      </c>
      <c r="L94" s="12"/>
      <c r="M94" s="12"/>
      <c r="N94" s="13"/>
      <c r="O94" s="12"/>
      <c r="P94" s="12"/>
    </row>
    <row r="95" customFormat="false" ht="22.35" hidden="false" customHeight="false" outlineLevel="0" collapsed="false">
      <c r="A95" s="7" t="s">
        <v>1937</v>
      </c>
      <c r="B95" s="7" t="s">
        <v>1938</v>
      </c>
      <c r="C95" s="7" t="s">
        <v>54</v>
      </c>
      <c r="D95" s="7" t="s">
        <v>1939</v>
      </c>
      <c r="E95" s="7" t="s">
        <v>1940</v>
      </c>
      <c r="F95" s="7" t="s">
        <v>1941</v>
      </c>
      <c r="G95" s="7" t="n">
        <v>4</v>
      </c>
      <c r="H95" s="7" t="s">
        <v>1948</v>
      </c>
      <c r="I95" s="7" t="s">
        <v>1949</v>
      </c>
      <c r="J95" s="12"/>
      <c r="K95" s="12" t="s">
        <v>40</v>
      </c>
      <c r="L95" s="12"/>
      <c r="M95" s="12"/>
      <c r="N95" s="13"/>
      <c r="O95" s="12"/>
      <c r="P95" s="12"/>
    </row>
    <row r="96" customFormat="false" ht="22.35" hidden="false" customHeight="false" outlineLevel="0" collapsed="false">
      <c r="A96" s="7" t="s">
        <v>1937</v>
      </c>
      <c r="B96" s="7" t="s">
        <v>1938</v>
      </c>
      <c r="C96" s="7" t="s">
        <v>54</v>
      </c>
      <c r="D96" s="7" t="s">
        <v>1939</v>
      </c>
      <c r="E96" s="7" t="s">
        <v>1940</v>
      </c>
      <c r="F96" s="7" t="s">
        <v>1941</v>
      </c>
      <c r="G96" s="7" t="n">
        <v>5</v>
      </c>
      <c r="H96" s="7" t="s">
        <v>1950</v>
      </c>
      <c r="I96" s="7" t="s">
        <v>1951</v>
      </c>
      <c r="J96" s="12"/>
      <c r="K96" s="12" t="s">
        <v>40</v>
      </c>
      <c r="L96" s="12"/>
      <c r="M96" s="12"/>
      <c r="N96" s="13"/>
      <c r="O96" s="12"/>
      <c r="P96" s="12"/>
    </row>
    <row r="97" customFormat="false" ht="22.35" hidden="false" customHeight="false" outlineLevel="0" collapsed="false">
      <c r="A97" s="7" t="s">
        <v>1952</v>
      </c>
      <c r="B97" s="7" t="s">
        <v>1953</v>
      </c>
      <c r="C97" s="7" t="s">
        <v>57</v>
      </c>
      <c r="D97" s="7" t="s">
        <v>1954</v>
      </c>
      <c r="E97" s="7" t="s">
        <v>136</v>
      </c>
      <c r="F97" s="7" t="s">
        <v>136</v>
      </c>
      <c r="G97" s="7" t="n">
        <v>1</v>
      </c>
      <c r="H97" s="7" t="s">
        <v>1955</v>
      </c>
      <c r="I97" s="7" t="s">
        <v>1956</v>
      </c>
      <c r="J97" s="12"/>
      <c r="K97" s="12" t="s">
        <v>40</v>
      </c>
      <c r="L97" s="12"/>
      <c r="M97" s="12"/>
      <c r="N97" s="13"/>
      <c r="O97" s="12"/>
      <c r="P97" s="12"/>
    </row>
    <row r="98" customFormat="false" ht="22.35" hidden="false" customHeight="false" outlineLevel="0" collapsed="false">
      <c r="A98" s="7" t="s">
        <v>1952</v>
      </c>
      <c r="B98" s="7" t="s">
        <v>1953</v>
      </c>
      <c r="C98" s="7" t="s">
        <v>57</v>
      </c>
      <c r="D98" s="7" t="s">
        <v>1954</v>
      </c>
      <c r="E98" s="7" t="s">
        <v>136</v>
      </c>
      <c r="F98" s="7" t="s">
        <v>136</v>
      </c>
      <c r="G98" s="7" t="n">
        <v>2</v>
      </c>
      <c r="H98" s="7" t="s">
        <v>1957</v>
      </c>
      <c r="I98" s="7" t="s">
        <v>1958</v>
      </c>
      <c r="J98" s="12"/>
      <c r="K98" s="12" t="s">
        <v>40</v>
      </c>
      <c r="L98" s="12"/>
      <c r="M98" s="12"/>
      <c r="N98" s="13"/>
      <c r="O98" s="12"/>
      <c r="P98" s="12"/>
    </row>
    <row r="99" customFormat="false" ht="22.35" hidden="false" customHeight="false" outlineLevel="0" collapsed="false">
      <c r="A99" s="7" t="s">
        <v>1952</v>
      </c>
      <c r="B99" s="7" t="s">
        <v>1953</v>
      </c>
      <c r="C99" s="7" t="s">
        <v>57</v>
      </c>
      <c r="D99" s="7" t="s">
        <v>1954</v>
      </c>
      <c r="E99" s="7" t="s">
        <v>136</v>
      </c>
      <c r="F99" s="7" t="s">
        <v>136</v>
      </c>
      <c r="G99" s="7" t="n">
        <v>3</v>
      </c>
      <c r="H99" s="7" t="s">
        <v>1959</v>
      </c>
      <c r="I99" s="7" t="s">
        <v>1960</v>
      </c>
      <c r="J99" s="12"/>
      <c r="K99" s="12" t="s">
        <v>40</v>
      </c>
      <c r="L99" s="12"/>
      <c r="M99" s="12"/>
      <c r="N99" s="13"/>
      <c r="O99" s="12"/>
      <c r="P99" s="12"/>
    </row>
    <row r="100" customFormat="false" ht="22.35" hidden="false" customHeight="false" outlineLevel="0" collapsed="false">
      <c r="A100" s="7" t="s">
        <v>1952</v>
      </c>
      <c r="B100" s="7" t="s">
        <v>1953</v>
      </c>
      <c r="C100" s="7" t="s">
        <v>57</v>
      </c>
      <c r="D100" s="7" t="s">
        <v>1954</v>
      </c>
      <c r="E100" s="7" t="s">
        <v>136</v>
      </c>
      <c r="F100" s="7" t="s">
        <v>136</v>
      </c>
      <c r="G100" s="7" t="n">
        <v>4</v>
      </c>
      <c r="H100" s="7" t="s">
        <v>1961</v>
      </c>
      <c r="I100" s="7" t="s">
        <v>1962</v>
      </c>
      <c r="J100" s="12"/>
      <c r="K100" s="12" t="s">
        <v>40</v>
      </c>
      <c r="L100" s="12"/>
      <c r="M100" s="12"/>
      <c r="N100" s="13"/>
      <c r="O100" s="12"/>
      <c r="P100" s="12"/>
    </row>
    <row r="101" customFormat="false" ht="22.35" hidden="false" customHeight="false" outlineLevel="0" collapsed="false">
      <c r="A101" s="7" t="s">
        <v>1952</v>
      </c>
      <c r="B101" s="7" t="s">
        <v>1953</v>
      </c>
      <c r="C101" s="7" t="s">
        <v>57</v>
      </c>
      <c r="D101" s="7" t="s">
        <v>1954</v>
      </c>
      <c r="E101" s="7" t="s">
        <v>136</v>
      </c>
      <c r="F101" s="7" t="s">
        <v>136</v>
      </c>
      <c r="G101" s="7" t="n">
        <v>5</v>
      </c>
      <c r="H101" s="7" t="s">
        <v>1963</v>
      </c>
      <c r="I101" s="7" t="s">
        <v>1964</v>
      </c>
      <c r="J101" s="12"/>
      <c r="K101" s="12" t="s">
        <v>40</v>
      </c>
      <c r="L101" s="12"/>
      <c r="M101" s="12"/>
      <c r="N101" s="13"/>
      <c r="O101" s="12"/>
      <c r="P101" s="12"/>
    </row>
    <row r="102" customFormat="false" ht="15" hidden="false" customHeight="false" outlineLevel="0" collapsed="false">
      <c r="A102" s="7" t="s">
        <v>1965</v>
      </c>
      <c r="B102" s="7" t="s">
        <v>1966</v>
      </c>
      <c r="C102" s="7" t="s">
        <v>56</v>
      </c>
      <c r="D102" s="7" t="s">
        <v>1967</v>
      </c>
      <c r="E102" s="7" t="s">
        <v>1968</v>
      </c>
      <c r="F102" s="7" t="s">
        <v>1969</v>
      </c>
      <c r="G102" s="7" t="n">
        <v>1</v>
      </c>
      <c r="H102" s="7" t="s">
        <v>1970</v>
      </c>
      <c r="I102" s="7" t="s">
        <v>1971</v>
      </c>
      <c r="J102" s="12"/>
      <c r="K102" s="12" t="s">
        <v>40</v>
      </c>
      <c r="L102" s="12"/>
      <c r="M102" s="12"/>
      <c r="N102" s="13"/>
      <c r="O102" s="12"/>
      <c r="P102" s="12"/>
    </row>
    <row r="103" customFormat="false" ht="15" hidden="false" customHeight="false" outlineLevel="0" collapsed="false">
      <c r="A103" s="7" t="s">
        <v>1965</v>
      </c>
      <c r="B103" s="7" t="s">
        <v>1966</v>
      </c>
      <c r="C103" s="7" t="s">
        <v>56</v>
      </c>
      <c r="D103" s="7" t="s">
        <v>1967</v>
      </c>
      <c r="E103" s="7" t="s">
        <v>1968</v>
      </c>
      <c r="F103" s="7" t="s">
        <v>1969</v>
      </c>
      <c r="G103" s="7" t="n">
        <v>2</v>
      </c>
      <c r="H103" s="7" t="s">
        <v>1972</v>
      </c>
      <c r="I103" s="7" t="s">
        <v>1973</v>
      </c>
      <c r="J103" s="12"/>
      <c r="K103" s="12" t="s">
        <v>40</v>
      </c>
      <c r="L103" s="12"/>
      <c r="M103" s="12"/>
      <c r="N103" s="13"/>
      <c r="O103" s="12"/>
      <c r="P103" s="12"/>
    </row>
    <row r="104" customFormat="false" ht="15" hidden="false" customHeight="false" outlineLevel="0" collapsed="false">
      <c r="A104" s="7" t="s">
        <v>1965</v>
      </c>
      <c r="B104" s="7" t="s">
        <v>1966</v>
      </c>
      <c r="C104" s="7" t="s">
        <v>56</v>
      </c>
      <c r="D104" s="7" t="s">
        <v>1967</v>
      </c>
      <c r="E104" s="7" t="s">
        <v>1968</v>
      </c>
      <c r="F104" s="7" t="s">
        <v>1969</v>
      </c>
      <c r="G104" s="7" t="n">
        <v>3</v>
      </c>
      <c r="H104" s="7" t="s">
        <v>1974</v>
      </c>
      <c r="I104" s="7" t="s">
        <v>1975</v>
      </c>
      <c r="J104" s="12"/>
      <c r="K104" s="12" t="s">
        <v>40</v>
      </c>
      <c r="L104" s="12"/>
      <c r="M104" s="12"/>
      <c r="N104" s="13"/>
      <c r="O104" s="12"/>
      <c r="P104" s="12"/>
    </row>
    <row r="105" customFormat="false" ht="22.35" hidden="false" customHeight="false" outlineLevel="0" collapsed="false">
      <c r="A105" s="7" t="s">
        <v>1965</v>
      </c>
      <c r="B105" s="7" t="s">
        <v>1966</v>
      </c>
      <c r="C105" s="7" t="s">
        <v>56</v>
      </c>
      <c r="D105" s="7" t="s">
        <v>1967</v>
      </c>
      <c r="E105" s="7" t="s">
        <v>1968</v>
      </c>
      <c r="F105" s="7" t="s">
        <v>1969</v>
      </c>
      <c r="G105" s="7" t="n">
        <v>4</v>
      </c>
      <c r="H105" s="7" t="s">
        <v>1976</v>
      </c>
      <c r="I105" s="7" t="s">
        <v>1533</v>
      </c>
      <c r="J105" s="12"/>
      <c r="K105" s="12" t="s">
        <v>40</v>
      </c>
      <c r="L105" s="12"/>
      <c r="M105" s="12"/>
      <c r="N105" s="13"/>
      <c r="O105" s="12"/>
      <c r="P105" s="12"/>
    </row>
    <row r="106" customFormat="false" ht="22.35" hidden="false" customHeight="false" outlineLevel="0" collapsed="false">
      <c r="A106" s="7" t="s">
        <v>1977</v>
      </c>
      <c r="B106" s="7" t="s">
        <v>1978</v>
      </c>
      <c r="C106" s="7" t="s">
        <v>56</v>
      </c>
      <c r="D106" s="7" t="s">
        <v>1979</v>
      </c>
      <c r="E106" s="7" t="s">
        <v>1980</v>
      </c>
      <c r="F106" s="7" t="s">
        <v>136</v>
      </c>
      <c r="G106" s="7" t="n">
        <v>1</v>
      </c>
      <c r="H106" s="7" t="s">
        <v>1981</v>
      </c>
      <c r="I106" s="7" t="s">
        <v>1982</v>
      </c>
      <c r="J106" s="12"/>
      <c r="K106" s="12" t="s">
        <v>40</v>
      </c>
      <c r="L106" s="12"/>
      <c r="M106" s="12"/>
      <c r="N106" s="13"/>
      <c r="O106" s="12"/>
      <c r="P106" s="12"/>
    </row>
    <row r="107" customFormat="false" ht="15" hidden="false" customHeight="false" outlineLevel="0" collapsed="false">
      <c r="A107" s="7" t="s">
        <v>1977</v>
      </c>
      <c r="B107" s="7" t="s">
        <v>1978</v>
      </c>
      <c r="C107" s="7" t="s">
        <v>56</v>
      </c>
      <c r="D107" s="7" t="s">
        <v>1979</v>
      </c>
      <c r="E107" s="7" t="s">
        <v>1980</v>
      </c>
      <c r="F107" s="7" t="s">
        <v>136</v>
      </c>
      <c r="G107" s="7" t="n">
        <v>2</v>
      </c>
      <c r="H107" s="7" t="s">
        <v>1983</v>
      </c>
      <c r="I107" s="7" t="s">
        <v>1984</v>
      </c>
      <c r="J107" s="12"/>
      <c r="K107" s="12" t="s">
        <v>40</v>
      </c>
      <c r="L107" s="12"/>
      <c r="M107" s="12"/>
      <c r="N107" s="13"/>
      <c r="O107" s="12"/>
      <c r="P107" s="12"/>
    </row>
    <row r="108" customFormat="false" ht="15" hidden="false" customHeight="false" outlineLevel="0" collapsed="false">
      <c r="A108" s="7" t="s">
        <v>1977</v>
      </c>
      <c r="B108" s="7" t="s">
        <v>1978</v>
      </c>
      <c r="C108" s="7" t="s">
        <v>56</v>
      </c>
      <c r="D108" s="7" t="s">
        <v>1979</v>
      </c>
      <c r="E108" s="7" t="s">
        <v>1980</v>
      </c>
      <c r="F108" s="7" t="s">
        <v>136</v>
      </c>
      <c r="G108" s="7" t="n">
        <v>3</v>
      </c>
      <c r="H108" s="7" t="s">
        <v>1985</v>
      </c>
      <c r="I108" s="7" t="s">
        <v>1986</v>
      </c>
      <c r="J108" s="12"/>
      <c r="K108" s="12" t="s">
        <v>40</v>
      </c>
      <c r="L108" s="12"/>
      <c r="M108" s="12"/>
      <c r="N108" s="13"/>
      <c r="O108" s="12"/>
      <c r="P108" s="12"/>
    </row>
  </sheetData>
  <autoFilter ref="A1:P108"/>
  <conditionalFormatting sqref="K2:K108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"Deferred"</formula>
    </cfRule>
  </conditionalFormatting>
  <dataValidations count="1">
    <dataValidation allowBlank="false" errorStyle="stop" operator="between" showDropDown="false" showErrorMessage="false" showInputMessage="false" sqref="K2:K108" type="list">
      <formula1>"Not Run,Pass,Fail,Blocked,Deferred"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7"/>
    <col collapsed="false" customWidth="true" hidden="false" outlineLevel="0" max="8" min="6" style="0" width="8"/>
    <col collapsed="false" customWidth="true" hidden="false" outlineLevel="0" max="9" min="9" style="0" width="9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1" t="s">
        <v>1667</v>
      </c>
      <c r="B1" s="11" t="s">
        <v>1668</v>
      </c>
      <c r="C1" s="11" t="s">
        <v>70</v>
      </c>
      <c r="D1" s="11" t="s">
        <v>1669</v>
      </c>
      <c r="E1" s="11" t="s">
        <v>1987</v>
      </c>
      <c r="F1" s="11" t="s">
        <v>1988</v>
      </c>
      <c r="G1" s="11" t="s">
        <v>1989</v>
      </c>
      <c r="H1" s="11" t="s">
        <v>39</v>
      </c>
      <c r="I1" s="11" t="s">
        <v>40</v>
      </c>
      <c r="J1" s="11" t="s">
        <v>1990</v>
      </c>
    </row>
    <row r="2" customFormat="false" ht="22.35" hidden="false" customHeight="false" outlineLevel="0" collapsed="false">
      <c r="A2" s="7" t="s">
        <v>1672</v>
      </c>
      <c r="B2" s="7" t="s">
        <v>1673</v>
      </c>
      <c r="C2" s="7" t="s">
        <v>54</v>
      </c>
      <c r="D2" s="7" t="s">
        <v>1674</v>
      </c>
      <c r="E2" s="7" t="n">
        <f aca="false">COUNTIF('E2E Procedures'!$A$2:$A$108,A2)</f>
        <v>12</v>
      </c>
      <c r="F2" s="7" t="n">
        <f aca="false">COUNTIFS('E2E Procedures'!$A$2:$A$108,A2,'E2E Procedures'!$K$2:$K$108,"Pass")</f>
        <v>0</v>
      </c>
      <c r="G2" s="7" t="n">
        <f aca="false">COUNTIFS('E2E Procedures'!$A$2:$A$108,A2,'E2E Procedures'!$K$2:$K$108,"Fail")</f>
        <v>0</v>
      </c>
      <c r="H2" s="7" t="n">
        <f aca="false">COUNTIFS('E2E Procedures'!$A$2:$A$108,A2,'E2E Procedures'!$K$2:$K$108,"Blocked")</f>
        <v>0</v>
      </c>
      <c r="I2" s="7" t="n">
        <f aca="false">COUNTIFS('E2E Procedures'!$A$2:$A$108,A2,'E2E Procedures'!$K$2:$K$108,"Not Run")</f>
        <v>12</v>
      </c>
      <c r="J2" s="7" t="str">
        <f aca="false">IF(G2&gt;0,"Fail",IF(H2&gt;0,"Blocked",IF(F2=E2,"Pass",IF(I2=E2,"Not Run","In Progress"))))</f>
        <v>Not Run</v>
      </c>
    </row>
    <row r="3" customFormat="false" ht="15" hidden="false" customHeight="false" outlineLevel="0" collapsed="false">
      <c r="A3" s="7" t="s">
        <v>1701</v>
      </c>
      <c r="B3" s="7" t="s">
        <v>1702</v>
      </c>
      <c r="C3" s="7" t="s">
        <v>55</v>
      </c>
      <c r="D3" s="7" t="s">
        <v>1703</v>
      </c>
      <c r="E3" s="7" t="n">
        <f aca="false">COUNTIF('E2E Procedures'!$A$2:$A$108,A3)</f>
        <v>6</v>
      </c>
      <c r="F3" s="7" t="n">
        <f aca="false">COUNTIFS('E2E Procedures'!$A$2:$A$108,A3,'E2E Procedures'!$K$2:$K$108,"Pass")</f>
        <v>0</v>
      </c>
      <c r="G3" s="7" t="n">
        <f aca="false">COUNTIFS('E2E Procedures'!$A$2:$A$108,A3,'E2E Procedures'!$K$2:$K$108,"Fail")</f>
        <v>0</v>
      </c>
      <c r="H3" s="7" t="n">
        <f aca="false">COUNTIFS('E2E Procedures'!$A$2:$A$108,A3,'E2E Procedures'!$K$2:$K$108,"Blocked")</f>
        <v>0</v>
      </c>
      <c r="I3" s="7" t="n">
        <f aca="false">COUNTIFS('E2E Procedures'!$A$2:$A$108,A3,'E2E Procedures'!$K$2:$K$108,"Not Run")</f>
        <v>6</v>
      </c>
      <c r="J3" s="7" t="str">
        <f aca="false">IF(G3&gt;0,"Fail",IF(H3&gt;0,"Blocked",IF(F3=E3,"Pass",IF(I3=E3,"Not Run","In Progress"))))</f>
        <v>Not Run</v>
      </c>
    </row>
    <row r="4" customFormat="false" ht="22.35" hidden="false" customHeight="false" outlineLevel="0" collapsed="false">
      <c r="A4" s="7" t="s">
        <v>1716</v>
      </c>
      <c r="B4" s="7" t="s">
        <v>1717</v>
      </c>
      <c r="C4" s="7" t="s">
        <v>55</v>
      </c>
      <c r="D4" s="7" t="s">
        <v>1718</v>
      </c>
      <c r="E4" s="7" t="n">
        <f aca="false">COUNTIF('E2E Procedures'!$A$2:$A$108,A4)</f>
        <v>6</v>
      </c>
      <c r="F4" s="7" t="n">
        <f aca="false">COUNTIFS('E2E Procedures'!$A$2:$A$108,A4,'E2E Procedures'!$K$2:$K$108,"Pass")</f>
        <v>0</v>
      </c>
      <c r="G4" s="7" t="n">
        <f aca="false">COUNTIFS('E2E Procedures'!$A$2:$A$108,A4,'E2E Procedures'!$K$2:$K$108,"Fail")</f>
        <v>0</v>
      </c>
      <c r="H4" s="7" t="n">
        <f aca="false">COUNTIFS('E2E Procedures'!$A$2:$A$108,A4,'E2E Procedures'!$K$2:$K$108,"Blocked")</f>
        <v>0</v>
      </c>
      <c r="I4" s="7" t="n">
        <f aca="false">COUNTIFS('E2E Procedures'!$A$2:$A$108,A4,'E2E Procedures'!$K$2:$K$108,"Not Run")</f>
        <v>6</v>
      </c>
      <c r="J4" s="7" t="str">
        <f aca="false">IF(G4&gt;0,"Fail",IF(H4&gt;0,"Blocked",IF(F4=E4,"Pass",IF(I4=E4,"Not Run","In Progress"))))</f>
        <v>Not Run</v>
      </c>
    </row>
    <row r="5" customFormat="false" ht="15" hidden="false" customHeight="false" outlineLevel="0" collapsed="false">
      <c r="A5" s="7" t="s">
        <v>1733</v>
      </c>
      <c r="B5" s="7" t="s">
        <v>1734</v>
      </c>
      <c r="C5" s="7" t="s">
        <v>56</v>
      </c>
      <c r="D5" s="7" t="s">
        <v>1735</v>
      </c>
      <c r="E5" s="7" t="n">
        <f aca="false">COUNTIF('E2E Procedures'!$A$2:$A$108,A5)</f>
        <v>3</v>
      </c>
      <c r="F5" s="7" t="n">
        <f aca="false">COUNTIFS('E2E Procedures'!$A$2:$A$108,A5,'E2E Procedures'!$K$2:$K$108,"Pass")</f>
        <v>0</v>
      </c>
      <c r="G5" s="7" t="n">
        <f aca="false">COUNTIFS('E2E Procedures'!$A$2:$A$108,A5,'E2E Procedures'!$K$2:$K$108,"Fail")</f>
        <v>0</v>
      </c>
      <c r="H5" s="7" t="n">
        <f aca="false">COUNTIFS('E2E Procedures'!$A$2:$A$108,A5,'E2E Procedures'!$K$2:$K$108,"Blocked")</f>
        <v>0</v>
      </c>
      <c r="I5" s="7" t="n">
        <f aca="false">COUNTIFS('E2E Procedures'!$A$2:$A$108,A5,'E2E Procedures'!$K$2:$K$108,"Not Run")</f>
        <v>3</v>
      </c>
      <c r="J5" s="7" t="str">
        <f aca="false">IF(G5&gt;0,"Fail",IF(H5&gt;0,"Blocked",IF(F5=E5,"Pass",IF(I5=E5,"Not Run","In Progress"))))</f>
        <v>Not Run</v>
      </c>
    </row>
    <row r="6" customFormat="false" ht="15" hidden="false" customHeight="false" outlineLevel="0" collapsed="false">
      <c r="A6" s="7" t="s">
        <v>1744</v>
      </c>
      <c r="B6" s="7" t="s">
        <v>1745</v>
      </c>
      <c r="C6" s="7" t="s">
        <v>55</v>
      </c>
      <c r="D6" s="7" t="s">
        <v>1746</v>
      </c>
      <c r="E6" s="7" t="n">
        <f aca="false">COUNTIF('E2E Procedures'!$A$2:$A$108,A6)</f>
        <v>5</v>
      </c>
      <c r="F6" s="7" t="n">
        <f aca="false">COUNTIFS('E2E Procedures'!$A$2:$A$108,A6,'E2E Procedures'!$K$2:$K$108,"Pass")</f>
        <v>0</v>
      </c>
      <c r="G6" s="7" t="n">
        <f aca="false">COUNTIFS('E2E Procedures'!$A$2:$A$108,A6,'E2E Procedures'!$K$2:$K$108,"Fail")</f>
        <v>0</v>
      </c>
      <c r="H6" s="7" t="n">
        <f aca="false">COUNTIFS('E2E Procedures'!$A$2:$A$108,A6,'E2E Procedures'!$K$2:$K$108,"Blocked")</f>
        <v>0</v>
      </c>
      <c r="I6" s="7" t="n">
        <f aca="false">COUNTIFS('E2E Procedures'!$A$2:$A$108,A6,'E2E Procedures'!$K$2:$K$108,"Not Run")</f>
        <v>5</v>
      </c>
      <c r="J6" s="7" t="str">
        <f aca="false">IF(G6&gt;0,"Fail",IF(H6&gt;0,"Blocked",IF(F6=E6,"Pass",IF(I6=E6,"Not Run","In Progress"))))</f>
        <v>Not Run</v>
      </c>
    </row>
    <row r="7" customFormat="false" ht="15" hidden="false" customHeight="false" outlineLevel="0" collapsed="false">
      <c r="A7" s="7" t="s">
        <v>1759</v>
      </c>
      <c r="B7" s="7" t="s">
        <v>1760</v>
      </c>
      <c r="C7" s="7" t="s">
        <v>54</v>
      </c>
      <c r="D7" s="7" t="s">
        <v>1761</v>
      </c>
      <c r="E7" s="7" t="n">
        <f aca="false">COUNTIF('E2E Procedures'!$A$2:$A$108,A7)</f>
        <v>4</v>
      </c>
      <c r="F7" s="7" t="n">
        <f aca="false">COUNTIFS('E2E Procedures'!$A$2:$A$108,A7,'E2E Procedures'!$K$2:$K$108,"Pass")</f>
        <v>0</v>
      </c>
      <c r="G7" s="7" t="n">
        <f aca="false">COUNTIFS('E2E Procedures'!$A$2:$A$108,A7,'E2E Procedures'!$K$2:$K$108,"Fail")</f>
        <v>0</v>
      </c>
      <c r="H7" s="7" t="n">
        <f aca="false">COUNTIFS('E2E Procedures'!$A$2:$A$108,A7,'E2E Procedures'!$K$2:$K$108,"Blocked")</f>
        <v>0</v>
      </c>
      <c r="I7" s="7" t="n">
        <f aca="false">COUNTIFS('E2E Procedures'!$A$2:$A$108,A7,'E2E Procedures'!$K$2:$K$108,"Not Run")</f>
        <v>4</v>
      </c>
      <c r="J7" s="7" t="str">
        <f aca="false">IF(G7&gt;0,"Fail",IF(H7&gt;0,"Blocked",IF(F7=E7,"Pass",IF(I7=E7,"Not Run","In Progress"))))</f>
        <v>Not Run</v>
      </c>
    </row>
    <row r="8" customFormat="false" ht="15" hidden="false" customHeight="false" outlineLevel="0" collapsed="false">
      <c r="A8" s="7" t="s">
        <v>1772</v>
      </c>
      <c r="B8" s="7" t="s">
        <v>1773</v>
      </c>
      <c r="C8" s="7" t="s">
        <v>54</v>
      </c>
      <c r="D8" s="7" t="s">
        <v>1774</v>
      </c>
      <c r="E8" s="7" t="n">
        <f aca="false">COUNTIF('E2E Procedures'!$A$2:$A$108,A8)</f>
        <v>5</v>
      </c>
      <c r="F8" s="7" t="n">
        <f aca="false">COUNTIFS('E2E Procedures'!$A$2:$A$108,A8,'E2E Procedures'!$K$2:$K$108,"Pass")</f>
        <v>0</v>
      </c>
      <c r="G8" s="7" t="n">
        <f aca="false">COUNTIFS('E2E Procedures'!$A$2:$A$108,A8,'E2E Procedures'!$K$2:$K$108,"Fail")</f>
        <v>0</v>
      </c>
      <c r="H8" s="7" t="n">
        <f aca="false">COUNTIFS('E2E Procedures'!$A$2:$A$108,A8,'E2E Procedures'!$K$2:$K$108,"Blocked")</f>
        <v>0</v>
      </c>
      <c r="I8" s="7" t="n">
        <f aca="false">COUNTIFS('E2E Procedures'!$A$2:$A$108,A8,'E2E Procedures'!$K$2:$K$108,"Not Run")</f>
        <v>5</v>
      </c>
      <c r="J8" s="7" t="str">
        <f aca="false">IF(G8&gt;0,"Fail",IF(H8&gt;0,"Blocked",IF(F8=E8,"Pass",IF(I8=E8,"Not Run","In Progress"))))</f>
        <v>Not Run</v>
      </c>
    </row>
    <row r="9" customFormat="false" ht="15" hidden="false" customHeight="false" outlineLevel="0" collapsed="false">
      <c r="A9" s="7" t="s">
        <v>1786</v>
      </c>
      <c r="B9" s="7" t="s">
        <v>1787</v>
      </c>
      <c r="C9" s="7" t="s">
        <v>54</v>
      </c>
      <c r="D9" s="7" t="s">
        <v>1788</v>
      </c>
      <c r="E9" s="7" t="n">
        <f aca="false">COUNTIF('E2E Procedures'!$A$2:$A$108,A9)</f>
        <v>4</v>
      </c>
      <c r="F9" s="7" t="n">
        <f aca="false">COUNTIFS('E2E Procedures'!$A$2:$A$108,A9,'E2E Procedures'!$K$2:$K$108,"Pass")</f>
        <v>0</v>
      </c>
      <c r="G9" s="7" t="n">
        <f aca="false">COUNTIFS('E2E Procedures'!$A$2:$A$108,A9,'E2E Procedures'!$K$2:$K$108,"Fail")</f>
        <v>0</v>
      </c>
      <c r="H9" s="7" t="n">
        <f aca="false">COUNTIFS('E2E Procedures'!$A$2:$A$108,A9,'E2E Procedures'!$K$2:$K$108,"Blocked")</f>
        <v>0</v>
      </c>
      <c r="I9" s="7" t="n">
        <f aca="false">COUNTIFS('E2E Procedures'!$A$2:$A$108,A9,'E2E Procedures'!$K$2:$K$108,"Not Run")</f>
        <v>4</v>
      </c>
      <c r="J9" s="7" t="str">
        <f aca="false">IF(G9&gt;0,"Fail",IF(H9&gt;0,"Blocked",IF(F9=E9,"Pass",IF(I9=E9,"Not Run","In Progress"))))</f>
        <v>Not Run</v>
      </c>
    </row>
    <row r="10" customFormat="false" ht="15" hidden="false" customHeight="false" outlineLevel="0" collapsed="false">
      <c r="A10" s="7" t="s">
        <v>1799</v>
      </c>
      <c r="B10" s="7" t="s">
        <v>1800</v>
      </c>
      <c r="C10" s="7" t="s">
        <v>55</v>
      </c>
      <c r="D10" s="7" t="s">
        <v>1801</v>
      </c>
      <c r="E10" s="7" t="n">
        <f aca="false">COUNTIF('E2E Procedures'!$A$2:$A$108,A10)</f>
        <v>4</v>
      </c>
      <c r="F10" s="7" t="n">
        <f aca="false">COUNTIFS('E2E Procedures'!$A$2:$A$108,A10,'E2E Procedures'!$K$2:$K$108,"Pass")</f>
        <v>0</v>
      </c>
      <c r="G10" s="7" t="n">
        <f aca="false">COUNTIFS('E2E Procedures'!$A$2:$A$108,A10,'E2E Procedures'!$K$2:$K$108,"Fail")</f>
        <v>0</v>
      </c>
      <c r="H10" s="7" t="n">
        <f aca="false">COUNTIFS('E2E Procedures'!$A$2:$A$108,A10,'E2E Procedures'!$K$2:$K$108,"Blocked")</f>
        <v>0</v>
      </c>
      <c r="I10" s="7" t="n">
        <f aca="false">COUNTIFS('E2E Procedures'!$A$2:$A$108,A10,'E2E Procedures'!$K$2:$K$108,"Not Run")</f>
        <v>4</v>
      </c>
      <c r="J10" s="7" t="str">
        <f aca="false">IF(G10&gt;0,"Fail",IF(H10&gt;0,"Blocked",IF(F10=E10,"Pass",IF(I10=E10,"Not Run","In Progress"))))</f>
        <v>Not Run</v>
      </c>
    </row>
    <row r="11" customFormat="false" ht="22.35" hidden="false" customHeight="false" outlineLevel="0" collapsed="false">
      <c r="A11" s="7" t="s">
        <v>1811</v>
      </c>
      <c r="B11" s="7" t="s">
        <v>1812</v>
      </c>
      <c r="C11" s="7" t="s">
        <v>55</v>
      </c>
      <c r="D11" s="7" t="s">
        <v>1813</v>
      </c>
      <c r="E11" s="7" t="n">
        <f aca="false">COUNTIF('E2E Procedures'!$A$2:$A$108,A11)</f>
        <v>6</v>
      </c>
      <c r="F11" s="7" t="n">
        <f aca="false">COUNTIFS('E2E Procedures'!$A$2:$A$108,A11,'E2E Procedures'!$K$2:$K$108,"Pass")</f>
        <v>0</v>
      </c>
      <c r="G11" s="7" t="n">
        <f aca="false">COUNTIFS('E2E Procedures'!$A$2:$A$108,A11,'E2E Procedures'!$K$2:$K$108,"Fail")</f>
        <v>0</v>
      </c>
      <c r="H11" s="7" t="n">
        <f aca="false">COUNTIFS('E2E Procedures'!$A$2:$A$108,A11,'E2E Procedures'!$K$2:$K$108,"Blocked")</f>
        <v>0</v>
      </c>
      <c r="I11" s="7" t="n">
        <f aca="false">COUNTIFS('E2E Procedures'!$A$2:$A$108,A11,'E2E Procedures'!$K$2:$K$108,"Not Run")</f>
        <v>6</v>
      </c>
      <c r="J11" s="7" t="str">
        <f aca="false">IF(G11&gt;0,"Fail",IF(H11&gt;0,"Blocked",IF(F11=E11,"Pass",IF(I11=E11,"Not Run","In Progress"))))</f>
        <v>Not Run</v>
      </c>
    </row>
    <row r="12" customFormat="false" ht="15" hidden="false" customHeight="false" outlineLevel="0" collapsed="false">
      <c r="A12" s="7" t="s">
        <v>1828</v>
      </c>
      <c r="B12" s="7" t="s">
        <v>1829</v>
      </c>
      <c r="C12" s="7" t="s">
        <v>56</v>
      </c>
      <c r="D12" s="7" t="s">
        <v>1830</v>
      </c>
      <c r="E12" s="7" t="n">
        <f aca="false">COUNTIF('E2E Procedures'!$A$2:$A$108,A12)</f>
        <v>3</v>
      </c>
      <c r="F12" s="7" t="n">
        <f aca="false">COUNTIFS('E2E Procedures'!$A$2:$A$108,A12,'E2E Procedures'!$K$2:$K$108,"Pass")</f>
        <v>0</v>
      </c>
      <c r="G12" s="7" t="n">
        <f aca="false">COUNTIFS('E2E Procedures'!$A$2:$A$108,A12,'E2E Procedures'!$K$2:$K$108,"Fail")</f>
        <v>0</v>
      </c>
      <c r="H12" s="7" t="n">
        <f aca="false">COUNTIFS('E2E Procedures'!$A$2:$A$108,A12,'E2E Procedures'!$K$2:$K$108,"Blocked")</f>
        <v>0</v>
      </c>
      <c r="I12" s="7" t="n">
        <f aca="false">COUNTIFS('E2E Procedures'!$A$2:$A$108,A12,'E2E Procedures'!$K$2:$K$108,"Not Run")</f>
        <v>3</v>
      </c>
      <c r="J12" s="7" t="str">
        <f aca="false">IF(G12&gt;0,"Fail",IF(H12&gt;0,"Blocked",IF(F12=E12,"Pass",IF(I12=E12,"Not Run","In Progress"))))</f>
        <v>Not Run</v>
      </c>
    </row>
    <row r="13" customFormat="false" ht="15" hidden="false" customHeight="false" outlineLevel="0" collapsed="false">
      <c r="A13" s="7" t="s">
        <v>1838</v>
      </c>
      <c r="B13" s="7" t="s">
        <v>1839</v>
      </c>
      <c r="C13" s="7" t="s">
        <v>55</v>
      </c>
      <c r="D13" s="7" t="s">
        <v>1840</v>
      </c>
      <c r="E13" s="7" t="n">
        <f aca="false">COUNTIF('E2E Procedures'!$A$2:$A$108,A13)</f>
        <v>4</v>
      </c>
      <c r="F13" s="7" t="n">
        <f aca="false">COUNTIFS('E2E Procedures'!$A$2:$A$108,A13,'E2E Procedures'!$K$2:$K$108,"Pass")</f>
        <v>0</v>
      </c>
      <c r="G13" s="7" t="n">
        <f aca="false">COUNTIFS('E2E Procedures'!$A$2:$A$108,A13,'E2E Procedures'!$K$2:$K$108,"Fail")</f>
        <v>0</v>
      </c>
      <c r="H13" s="7" t="n">
        <f aca="false">COUNTIFS('E2E Procedures'!$A$2:$A$108,A13,'E2E Procedures'!$K$2:$K$108,"Blocked")</f>
        <v>0</v>
      </c>
      <c r="I13" s="7" t="n">
        <f aca="false">COUNTIFS('E2E Procedures'!$A$2:$A$108,A13,'E2E Procedures'!$K$2:$K$108,"Not Run")</f>
        <v>4</v>
      </c>
      <c r="J13" s="7" t="str">
        <f aca="false">IF(G13&gt;0,"Fail",IF(H13&gt;0,"Blocked",IF(F13=E13,"Pass",IF(I13=E13,"Not Run","In Progress"))))</f>
        <v>Not Run</v>
      </c>
    </row>
    <row r="14" customFormat="false" ht="15" hidden="false" customHeight="false" outlineLevel="0" collapsed="false">
      <c r="A14" s="7" t="s">
        <v>1850</v>
      </c>
      <c r="B14" s="7" t="s">
        <v>1851</v>
      </c>
      <c r="C14" s="7" t="s">
        <v>56</v>
      </c>
      <c r="D14" s="7" t="s">
        <v>1852</v>
      </c>
      <c r="E14" s="7" t="n">
        <f aca="false">COUNTIF('E2E Procedures'!$A$2:$A$108,A14)</f>
        <v>3</v>
      </c>
      <c r="F14" s="7" t="n">
        <f aca="false">COUNTIFS('E2E Procedures'!$A$2:$A$108,A14,'E2E Procedures'!$K$2:$K$108,"Pass")</f>
        <v>0</v>
      </c>
      <c r="G14" s="7" t="n">
        <f aca="false">COUNTIFS('E2E Procedures'!$A$2:$A$108,A14,'E2E Procedures'!$K$2:$K$108,"Fail")</f>
        <v>0</v>
      </c>
      <c r="H14" s="7" t="n">
        <f aca="false">COUNTIFS('E2E Procedures'!$A$2:$A$108,A14,'E2E Procedures'!$K$2:$K$108,"Blocked")</f>
        <v>0</v>
      </c>
      <c r="I14" s="7" t="n">
        <f aca="false">COUNTIFS('E2E Procedures'!$A$2:$A$108,A14,'E2E Procedures'!$K$2:$K$108,"Not Run")</f>
        <v>3</v>
      </c>
      <c r="J14" s="7" t="str">
        <f aca="false">IF(G14&gt;0,"Fail",IF(H14&gt;0,"Blocked",IF(F14=E14,"Pass",IF(I14=E14,"Not Run","In Progress"))))</f>
        <v>Not Run</v>
      </c>
    </row>
    <row r="15" customFormat="false" ht="15" hidden="false" customHeight="false" outlineLevel="0" collapsed="false">
      <c r="A15" s="7" t="s">
        <v>1860</v>
      </c>
      <c r="B15" s="7" t="s">
        <v>1861</v>
      </c>
      <c r="C15" s="7" t="s">
        <v>56</v>
      </c>
      <c r="D15" s="7" t="s">
        <v>1862</v>
      </c>
      <c r="E15" s="7" t="n">
        <f aca="false">COUNTIF('E2E Procedures'!$A$2:$A$108,A15)</f>
        <v>3</v>
      </c>
      <c r="F15" s="7" t="n">
        <f aca="false">COUNTIFS('E2E Procedures'!$A$2:$A$108,A15,'E2E Procedures'!$K$2:$K$108,"Pass")</f>
        <v>0</v>
      </c>
      <c r="G15" s="7" t="n">
        <f aca="false">COUNTIFS('E2E Procedures'!$A$2:$A$108,A15,'E2E Procedures'!$K$2:$K$108,"Fail")</f>
        <v>0</v>
      </c>
      <c r="H15" s="7" t="n">
        <f aca="false">COUNTIFS('E2E Procedures'!$A$2:$A$108,A15,'E2E Procedures'!$K$2:$K$108,"Blocked")</f>
        <v>0</v>
      </c>
      <c r="I15" s="7" t="n">
        <f aca="false">COUNTIFS('E2E Procedures'!$A$2:$A$108,A15,'E2E Procedures'!$K$2:$K$108,"Not Run")</f>
        <v>3</v>
      </c>
      <c r="J15" s="7" t="str">
        <f aca="false">IF(G15&gt;0,"Fail",IF(H15&gt;0,"Blocked",IF(F15=E15,"Pass",IF(I15=E15,"Not Run","In Progress"))))</f>
        <v>Not Run</v>
      </c>
    </row>
    <row r="16" customFormat="false" ht="15" hidden="false" customHeight="false" outlineLevel="0" collapsed="false">
      <c r="A16" s="7" t="s">
        <v>1870</v>
      </c>
      <c r="B16" s="7" t="s">
        <v>1871</v>
      </c>
      <c r="C16" s="7" t="s">
        <v>56</v>
      </c>
      <c r="D16" s="7" t="s">
        <v>1872</v>
      </c>
      <c r="E16" s="7" t="n">
        <f aca="false">COUNTIF('E2E Procedures'!$A$2:$A$108,A16)</f>
        <v>3</v>
      </c>
      <c r="F16" s="7" t="n">
        <f aca="false">COUNTIFS('E2E Procedures'!$A$2:$A$108,A16,'E2E Procedures'!$K$2:$K$108,"Pass")</f>
        <v>0</v>
      </c>
      <c r="G16" s="7" t="n">
        <f aca="false">COUNTIFS('E2E Procedures'!$A$2:$A$108,A16,'E2E Procedures'!$K$2:$K$108,"Fail")</f>
        <v>0</v>
      </c>
      <c r="H16" s="7" t="n">
        <f aca="false">COUNTIFS('E2E Procedures'!$A$2:$A$108,A16,'E2E Procedures'!$K$2:$K$108,"Blocked")</f>
        <v>0</v>
      </c>
      <c r="I16" s="7" t="n">
        <f aca="false">COUNTIFS('E2E Procedures'!$A$2:$A$108,A16,'E2E Procedures'!$K$2:$K$108,"Not Run")</f>
        <v>3</v>
      </c>
      <c r="J16" s="7" t="str">
        <f aca="false">IF(G16&gt;0,"Fail",IF(H16&gt;0,"Blocked",IF(F16=E16,"Pass",IF(I16=E16,"Not Run","In Progress"))))</f>
        <v>Not Run</v>
      </c>
    </row>
    <row r="17" customFormat="false" ht="15" hidden="false" customHeight="false" outlineLevel="0" collapsed="false">
      <c r="A17" s="7" t="s">
        <v>1881</v>
      </c>
      <c r="B17" s="7" t="s">
        <v>1882</v>
      </c>
      <c r="C17" s="7" t="s">
        <v>57</v>
      </c>
      <c r="D17" s="7" t="s">
        <v>1883</v>
      </c>
      <c r="E17" s="7" t="n">
        <f aca="false">COUNTIF('E2E Procedures'!$A$2:$A$108,A17)</f>
        <v>4</v>
      </c>
      <c r="F17" s="7" t="n">
        <f aca="false">COUNTIFS('E2E Procedures'!$A$2:$A$108,A17,'E2E Procedures'!$K$2:$K$108,"Pass")</f>
        <v>0</v>
      </c>
      <c r="G17" s="7" t="n">
        <f aca="false">COUNTIFS('E2E Procedures'!$A$2:$A$108,A17,'E2E Procedures'!$K$2:$K$108,"Fail")</f>
        <v>0</v>
      </c>
      <c r="H17" s="7" t="n">
        <f aca="false">COUNTIFS('E2E Procedures'!$A$2:$A$108,A17,'E2E Procedures'!$K$2:$K$108,"Blocked")</f>
        <v>0</v>
      </c>
      <c r="I17" s="7" t="n">
        <f aca="false">COUNTIFS('E2E Procedures'!$A$2:$A$108,A17,'E2E Procedures'!$K$2:$K$108,"Not Run")</f>
        <v>4</v>
      </c>
      <c r="J17" s="7" t="str">
        <f aca="false">IF(G17&gt;0,"Fail",IF(H17&gt;0,"Blocked",IF(F17=E17,"Pass",IF(I17=E17,"Not Run","In Progress"))))</f>
        <v>Not Run</v>
      </c>
    </row>
    <row r="18" customFormat="false" ht="15" hidden="false" customHeight="false" outlineLevel="0" collapsed="false">
      <c r="A18" s="7" t="s">
        <v>1894</v>
      </c>
      <c r="B18" s="7" t="s">
        <v>1895</v>
      </c>
      <c r="C18" s="7" t="s">
        <v>56</v>
      </c>
      <c r="D18" s="7" t="s">
        <v>1896</v>
      </c>
      <c r="E18" s="7" t="n">
        <f aca="false">COUNTIF('E2E Procedures'!$A$2:$A$108,A18)</f>
        <v>5</v>
      </c>
      <c r="F18" s="7" t="n">
        <f aca="false">COUNTIFS('E2E Procedures'!$A$2:$A$108,A18,'E2E Procedures'!$K$2:$K$108,"Pass")</f>
        <v>0</v>
      </c>
      <c r="G18" s="7" t="n">
        <f aca="false">COUNTIFS('E2E Procedures'!$A$2:$A$108,A18,'E2E Procedures'!$K$2:$K$108,"Fail")</f>
        <v>0</v>
      </c>
      <c r="H18" s="7" t="n">
        <f aca="false">COUNTIFS('E2E Procedures'!$A$2:$A$108,A18,'E2E Procedures'!$K$2:$K$108,"Blocked")</f>
        <v>0</v>
      </c>
      <c r="I18" s="7" t="n">
        <f aca="false">COUNTIFS('E2E Procedures'!$A$2:$A$108,A18,'E2E Procedures'!$K$2:$K$108,"Not Run")</f>
        <v>5</v>
      </c>
      <c r="J18" s="7" t="str">
        <f aca="false">IF(G18&gt;0,"Fail",IF(H18&gt;0,"Blocked",IF(F18=E18,"Pass",IF(I18=E18,"Not Run","In Progress"))))</f>
        <v>Not Run</v>
      </c>
    </row>
    <row r="19" customFormat="false" ht="15" hidden="false" customHeight="false" outlineLevel="0" collapsed="false">
      <c r="A19" s="7" t="s">
        <v>1906</v>
      </c>
      <c r="B19" s="7" t="s">
        <v>1907</v>
      </c>
      <c r="C19" s="7" t="s">
        <v>55</v>
      </c>
      <c r="D19" s="7" t="s">
        <v>1908</v>
      </c>
      <c r="E19" s="7" t="n">
        <f aca="false">COUNTIF('E2E Procedures'!$A$2:$A$108,A19)</f>
        <v>4</v>
      </c>
      <c r="F19" s="7" t="n">
        <f aca="false">COUNTIFS('E2E Procedures'!$A$2:$A$108,A19,'E2E Procedures'!$K$2:$K$108,"Pass")</f>
        <v>0</v>
      </c>
      <c r="G19" s="7" t="n">
        <f aca="false">COUNTIFS('E2E Procedures'!$A$2:$A$108,A19,'E2E Procedures'!$K$2:$K$108,"Fail")</f>
        <v>0</v>
      </c>
      <c r="H19" s="7" t="n">
        <f aca="false">COUNTIFS('E2E Procedures'!$A$2:$A$108,A19,'E2E Procedures'!$K$2:$K$108,"Blocked")</f>
        <v>0</v>
      </c>
      <c r="I19" s="7" t="n">
        <f aca="false">COUNTIFS('E2E Procedures'!$A$2:$A$108,A19,'E2E Procedures'!$K$2:$K$108,"Not Run")</f>
        <v>4</v>
      </c>
      <c r="J19" s="7" t="str">
        <f aca="false">IF(G19&gt;0,"Fail",IF(H19&gt;0,"Blocked",IF(F19=E19,"Pass",IF(I19=E19,"Not Run","In Progress"))))</f>
        <v>Not Run</v>
      </c>
    </row>
    <row r="20" customFormat="false" ht="15" hidden="false" customHeight="false" outlineLevel="0" collapsed="false">
      <c r="A20" s="7" t="s">
        <v>1918</v>
      </c>
      <c r="B20" s="7" t="s">
        <v>1919</v>
      </c>
      <c r="C20" s="7" t="s">
        <v>56</v>
      </c>
      <c r="D20" s="7" t="s">
        <v>1920</v>
      </c>
      <c r="E20" s="7" t="n">
        <f aca="false">COUNTIF('E2E Procedures'!$A$2:$A$108,A20)</f>
        <v>4</v>
      </c>
      <c r="F20" s="7" t="n">
        <f aca="false">COUNTIFS('E2E Procedures'!$A$2:$A$108,A20,'E2E Procedures'!$K$2:$K$108,"Pass")</f>
        <v>0</v>
      </c>
      <c r="G20" s="7" t="n">
        <f aca="false">COUNTIFS('E2E Procedures'!$A$2:$A$108,A20,'E2E Procedures'!$K$2:$K$108,"Fail")</f>
        <v>0</v>
      </c>
      <c r="H20" s="7" t="n">
        <f aca="false">COUNTIFS('E2E Procedures'!$A$2:$A$108,A20,'E2E Procedures'!$K$2:$K$108,"Blocked")</f>
        <v>0</v>
      </c>
      <c r="I20" s="7" t="n">
        <f aca="false">COUNTIFS('E2E Procedures'!$A$2:$A$108,A20,'E2E Procedures'!$K$2:$K$108,"Not Run")</f>
        <v>4</v>
      </c>
      <c r="J20" s="7" t="str">
        <f aca="false">IF(G20&gt;0,"Fail",IF(H20&gt;0,"Blocked",IF(F20=E20,"Pass",IF(I20=E20,"Not Run","In Progress"))))</f>
        <v>Not Run</v>
      </c>
    </row>
    <row r="21" customFormat="false" ht="15" hidden="false" customHeight="false" outlineLevel="0" collapsed="false">
      <c r="A21" s="7" t="s">
        <v>1930</v>
      </c>
      <c r="B21" s="7" t="s">
        <v>1931</v>
      </c>
      <c r="C21" s="7" t="s">
        <v>55</v>
      </c>
      <c r="D21" s="7" t="s">
        <v>1932</v>
      </c>
      <c r="E21" s="7" t="n">
        <f aca="false">COUNTIF('E2E Procedures'!$A$2:$A$108,A21)</f>
        <v>2</v>
      </c>
      <c r="F21" s="7" t="n">
        <f aca="false">COUNTIFS('E2E Procedures'!$A$2:$A$108,A21,'E2E Procedures'!$K$2:$K$108,"Pass")</f>
        <v>0</v>
      </c>
      <c r="G21" s="7" t="n">
        <f aca="false">COUNTIFS('E2E Procedures'!$A$2:$A$108,A21,'E2E Procedures'!$K$2:$K$108,"Fail")</f>
        <v>0</v>
      </c>
      <c r="H21" s="7" t="n">
        <f aca="false">COUNTIFS('E2E Procedures'!$A$2:$A$108,A21,'E2E Procedures'!$K$2:$K$108,"Blocked")</f>
        <v>0</v>
      </c>
      <c r="I21" s="7" t="n">
        <f aca="false">COUNTIFS('E2E Procedures'!$A$2:$A$108,A21,'E2E Procedures'!$K$2:$K$108,"Not Run")</f>
        <v>2</v>
      </c>
      <c r="J21" s="7" t="str">
        <f aca="false">IF(G21&gt;0,"Fail",IF(H21&gt;0,"Blocked",IF(F21=E21,"Pass",IF(I21=E21,"Not Run","In Progress"))))</f>
        <v>Not Run</v>
      </c>
    </row>
    <row r="22" customFormat="false" ht="15" hidden="false" customHeight="false" outlineLevel="0" collapsed="false">
      <c r="A22" s="7" t="s">
        <v>1937</v>
      </c>
      <c r="B22" s="7" t="s">
        <v>1938</v>
      </c>
      <c r="C22" s="7" t="s">
        <v>54</v>
      </c>
      <c r="D22" s="7" t="s">
        <v>1939</v>
      </c>
      <c r="E22" s="7" t="n">
        <f aca="false">COUNTIF('E2E Procedures'!$A$2:$A$108,A22)</f>
        <v>5</v>
      </c>
      <c r="F22" s="7" t="n">
        <f aca="false">COUNTIFS('E2E Procedures'!$A$2:$A$108,A22,'E2E Procedures'!$K$2:$K$108,"Pass")</f>
        <v>0</v>
      </c>
      <c r="G22" s="7" t="n">
        <f aca="false">COUNTIFS('E2E Procedures'!$A$2:$A$108,A22,'E2E Procedures'!$K$2:$K$108,"Fail")</f>
        <v>0</v>
      </c>
      <c r="H22" s="7" t="n">
        <f aca="false">COUNTIFS('E2E Procedures'!$A$2:$A$108,A22,'E2E Procedures'!$K$2:$K$108,"Blocked")</f>
        <v>0</v>
      </c>
      <c r="I22" s="7" t="n">
        <f aca="false">COUNTIFS('E2E Procedures'!$A$2:$A$108,A22,'E2E Procedures'!$K$2:$K$108,"Not Run")</f>
        <v>5</v>
      </c>
      <c r="J22" s="7" t="str">
        <f aca="false">IF(G22&gt;0,"Fail",IF(H22&gt;0,"Blocked",IF(F22=E22,"Pass",IF(I22=E22,"Not Run","In Progress"))))</f>
        <v>Not Run</v>
      </c>
    </row>
    <row r="23" customFormat="false" ht="15" hidden="false" customHeight="false" outlineLevel="0" collapsed="false">
      <c r="A23" s="7" t="s">
        <v>1952</v>
      </c>
      <c r="B23" s="7" t="s">
        <v>1953</v>
      </c>
      <c r="C23" s="7" t="s">
        <v>57</v>
      </c>
      <c r="D23" s="7" t="s">
        <v>1954</v>
      </c>
      <c r="E23" s="7" t="n">
        <f aca="false">COUNTIF('E2E Procedures'!$A$2:$A$108,A23)</f>
        <v>5</v>
      </c>
      <c r="F23" s="7" t="n">
        <f aca="false">COUNTIFS('E2E Procedures'!$A$2:$A$108,A23,'E2E Procedures'!$K$2:$K$108,"Pass")</f>
        <v>0</v>
      </c>
      <c r="G23" s="7" t="n">
        <f aca="false">COUNTIFS('E2E Procedures'!$A$2:$A$108,A23,'E2E Procedures'!$K$2:$K$108,"Fail")</f>
        <v>0</v>
      </c>
      <c r="H23" s="7" t="n">
        <f aca="false">COUNTIFS('E2E Procedures'!$A$2:$A$108,A23,'E2E Procedures'!$K$2:$K$108,"Blocked")</f>
        <v>0</v>
      </c>
      <c r="I23" s="7" t="n">
        <f aca="false">COUNTIFS('E2E Procedures'!$A$2:$A$108,A23,'E2E Procedures'!$K$2:$K$108,"Not Run")</f>
        <v>5</v>
      </c>
      <c r="J23" s="7" t="str">
        <f aca="false">IF(G23&gt;0,"Fail",IF(H23&gt;0,"Blocked",IF(F23=E23,"Pass",IF(I23=E23,"Not Run","In Progress"))))</f>
        <v>Not Run</v>
      </c>
    </row>
    <row r="24" customFormat="false" ht="15" hidden="false" customHeight="false" outlineLevel="0" collapsed="false">
      <c r="A24" s="7" t="s">
        <v>1965</v>
      </c>
      <c r="B24" s="7" t="s">
        <v>1966</v>
      </c>
      <c r="C24" s="7" t="s">
        <v>56</v>
      </c>
      <c r="D24" s="7" t="s">
        <v>1967</v>
      </c>
      <c r="E24" s="7" t="n">
        <f aca="false">COUNTIF('E2E Procedures'!$A$2:$A$108,A24)</f>
        <v>4</v>
      </c>
      <c r="F24" s="7" t="n">
        <f aca="false">COUNTIFS('E2E Procedures'!$A$2:$A$108,A24,'E2E Procedures'!$K$2:$K$108,"Pass")</f>
        <v>0</v>
      </c>
      <c r="G24" s="7" t="n">
        <f aca="false">COUNTIFS('E2E Procedures'!$A$2:$A$108,A24,'E2E Procedures'!$K$2:$K$108,"Fail")</f>
        <v>0</v>
      </c>
      <c r="H24" s="7" t="n">
        <f aca="false">COUNTIFS('E2E Procedures'!$A$2:$A$108,A24,'E2E Procedures'!$K$2:$K$108,"Blocked")</f>
        <v>0</v>
      </c>
      <c r="I24" s="7" t="n">
        <f aca="false">COUNTIFS('E2E Procedures'!$A$2:$A$108,A24,'E2E Procedures'!$K$2:$K$108,"Not Run")</f>
        <v>4</v>
      </c>
      <c r="J24" s="7" t="str">
        <f aca="false">IF(G24&gt;0,"Fail",IF(H24&gt;0,"Blocked",IF(F24=E24,"Pass",IF(I24=E24,"Not Run","In Progress"))))</f>
        <v>Not Run</v>
      </c>
    </row>
    <row r="25" customFormat="false" ht="15" hidden="false" customHeight="false" outlineLevel="0" collapsed="false">
      <c r="A25" s="7" t="s">
        <v>1977</v>
      </c>
      <c r="B25" s="7" t="s">
        <v>1978</v>
      </c>
      <c r="C25" s="7" t="s">
        <v>56</v>
      </c>
      <c r="D25" s="7" t="s">
        <v>1979</v>
      </c>
      <c r="E25" s="7" t="n">
        <f aca="false">COUNTIF('E2E Procedures'!$A$2:$A$108,A25)</f>
        <v>3</v>
      </c>
      <c r="F25" s="7" t="n">
        <f aca="false">COUNTIFS('E2E Procedures'!$A$2:$A$108,A25,'E2E Procedures'!$K$2:$K$108,"Pass")</f>
        <v>0</v>
      </c>
      <c r="G25" s="7" t="n">
        <f aca="false">COUNTIFS('E2E Procedures'!$A$2:$A$108,A25,'E2E Procedures'!$K$2:$K$108,"Fail")</f>
        <v>0</v>
      </c>
      <c r="H25" s="7" t="n">
        <f aca="false">COUNTIFS('E2E Procedures'!$A$2:$A$108,A25,'E2E Procedures'!$K$2:$K$108,"Blocked")</f>
        <v>0</v>
      </c>
      <c r="I25" s="7" t="n">
        <f aca="false">COUNTIFS('E2E Procedures'!$A$2:$A$108,A25,'E2E Procedures'!$K$2:$K$108,"Not Run")</f>
        <v>3</v>
      </c>
      <c r="J25" s="7" t="str">
        <f aca="false">IF(G25&gt;0,"Fail",IF(H25&gt;0,"Blocked",IF(F25=E25,"Pass",IF(I25=E25,"Not Run","In Progress"))))</f>
        <v>Not Run</v>
      </c>
    </row>
  </sheetData>
  <conditionalFormatting sqref="J2:J25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"Deferred"</formula>
    </cfRule>
  </conditionalFormatting>
  <dataValidations count="1">
    <dataValidation allowBlank="false" errorStyle="stop" operator="between" showDropDown="false" showErrorMessage="false" showInputMessage="false" sqref="J2:J25" type="list">
      <formula1>"Not Run,Pass,Fail,Blocked,Deferred"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40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4"/>
  </cols>
  <sheetData>
    <row r="1" customFormat="false" ht="30" hidden="false" customHeight="true" outlineLevel="0" collapsed="false">
      <c r="A1" s="11" t="s">
        <v>68</v>
      </c>
      <c r="B1" s="11" t="s">
        <v>1991</v>
      </c>
      <c r="C1" s="11" t="s">
        <v>67</v>
      </c>
      <c r="D1" s="11" t="s">
        <v>70</v>
      </c>
      <c r="E1" s="11" t="s">
        <v>1992</v>
      </c>
      <c r="F1" s="11" t="s">
        <v>10</v>
      </c>
      <c r="G1" s="11" t="s">
        <v>1993</v>
      </c>
      <c r="H1" s="11" t="s">
        <v>1994</v>
      </c>
      <c r="I1" s="11" t="s">
        <v>12</v>
      </c>
      <c r="J1" s="11" t="s">
        <v>1988</v>
      </c>
      <c r="K1" s="11" t="s">
        <v>1989</v>
      </c>
      <c r="L1" s="11" t="s">
        <v>40</v>
      </c>
      <c r="M1" s="11" t="s">
        <v>1995</v>
      </c>
    </row>
    <row r="2" customFormat="false" ht="15" hidden="false" customHeight="false" outlineLevel="0" collapsed="false">
      <c r="A2" s="7" t="s">
        <v>89</v>
      </c>
      <c r="B2" s="7" t="s">
        <v>90</v>
      </c>
      <c r="C2" s="7" t="s">
        <v>88</v>
      </c>
      <c r="D2" s="7" t="s">
        <v>55</v>
      </c>
      <c r="E2" s="7" t="n">
        <v>4</v>
      </c>
      <c r="F2" s="7" t="n">
        <f aca="false">COUNTIF('Test Cases'!$C$2:$C$291,A2)</f>
        <v>8</v>
      </c>
      <c r="G2" s="7" t="s">
        <v>87</v>
      </c>
      <c r="H2" s="7" t="s">
        <v>133</v>
      </c>
      <c r="I2" s="7" t="s">
        <v>1672</v>
      </c>
      <c r="J2" s="7" t="n">
        <f aca="false">COUNTIFS('Test Cases'!$C$2:$C$291,A2,'Test Cases'!$O$2:$O$291,"Pass")</f>
        <v>1</v>
      </c>
      <c r="K2" s="7" t="n">
        <f aca="false">COUNTIFS('Test Cases'!$C$2:$C$291,A2,'Test Cases'!$O$2:$O$291,"Fail")</f>
        <v>0</v>
      </c>
      <c r="L2" s="7" t="n">
        <f aca="false">COUNTIFS('Test Cases'!$C$2:$C$291,A2,'Test Cases'!$O$2:$O$291,"Not Run")</f>
        <v>7</v>
      </c>
      <c r="M2" s="7" t="str">
        <f aca="false">IF(K2&gt;0,"Fail",IF(J2=F2,"Pass",IF(L2=F2,"Not Run","In Progress")))</f>
        <v>In Progress</v>
      </c>
    </row>
    <row r="3" customFormat="false" ht="15" hidden="false" customHeight="false" outlineLevel="0" collapsed="false">
      <c r="A3" s="7" t="s">
        <v>139</v>
      </c>
      <c r="B3" s="7" t="s">
        <v>140</v>
      </c>
      <c r="C3" s="7" t="s">
        <v>88</v>
      </c>
      <c r="D3" s="7" t="s">
        <v>54</v>
      </c>
      <c r="E3" s="7" t="n">
        <v>3</v>
      </c>
      <c r="F3" s="7" t="n">
        <f aca="false">COUNTIF('Test Cases'!$C$2:$C$291,A3)</f>
        <v>6</v>
      </c>
      <c r="G3" s="7" t="s">
        <v>138</v>
      </c>
      <c r="H3" s="7" t="s">
        <v>169</v>
      </c>
      <c r="I3" s="7" t="s">
        <v>1996</v>
      </c>
      <c r="J3" s="7" t="n">
        <f aca="false">COUNTIFS('Test Cases'!$C$2:$C$291,A3,'Test Cases'!$O$2:$O$291,"Pass")</f>
        <v>0</v>
      </c>
      <c r="K3" s="7" t="n">
        <f aca="false">COUNTIFS('Test Cases'!$C$2:$C$291,A3,'Test Cases'!$O$2:$O$291,"Fail")</f>
        <v>0</v>
      </c>
      <c r="L3" s="7" t="n">
        <f aca="false">COUNTIFS('Test Cases'!$C$2:$C$291,A3,'Test Cases'!$O$2:$O$291,"Not Run")</f>
        <v>6</v>
      </c>
      <c r="M3" s="7" t="str">
        <f aca="false">IF(K3&gt;0,"Fail",IF(J3=F3,"Pass",IF(L3=F3,"Not Run","In Progress")))</f>
        <v>Not Run</v>
      </c>
    </row>
    <row r="4" customFormat="false" ht="15" hidden="false" customHeight="false" outlineLevel="0" collapsed="false">
      <c r="A4" s="7" t="s">
        <v>175</v>
      </c>
      <c r="B4" s="7" t="s">
        <v>176</v>
      </c>
      <c r="C4" s="7" t="s">
        <v>88</v>
      </c>
      <c r="D4" s="7" t="s">
        <v>56</v>
      </c>
      <c r="E4" s="7" t="n">
        <v>3</v>
      </c>
      <c r="F4" s="7" t="n">
        <f aca="false">COUNTIF('Test Cases'!$C$2:$C$291,A4)</f>
        <v>6</v>
      </c>
      <c r="G4" s="7" t="s">
        <v>174</v>
      </c>
      <c r="H4" s="7" t="s">
        <v>204</v>
      </c>
      <c r="I4" s="7" t="s">
        <v>1733</v>
      </c>
      <c r="J4" s="7" t="n">
        <f aca="false">COUNTIFS('Test Cases'!$C$2:$C$291,A4,'Test Cases'!$O$2:$O$291,"Pass")</f>
        <v>0</v>
      </c>
      <c r="K4" s="7" t="n">
        <f aca="false">COUNTIFS('Test Cases'!$C$2:$C$291,A4,'Test Cases'!$O$2:$O$291,"Fail")</f>
        <v>0</v>
      </c>
      <c r="L4" s="7" t="n">
        <f aca="false">COUNTIFS('Test Cases'!$C$2:$C$291,A4,'Test Cases'!$O$2:$O$291,"Not Run")</f>
        <v>6</v>
      </c>
      <c r="M4" s="7" t="str">
        <f aca="false">IF(K4&gt;0,"Fail",IF(J4=F4,"Pass",IF(L4=F4,"Not Run","In Progress")))</f>
        <v>Not Run</v>
      </c>
    </row>
    <row r="5" customFormat="false" ht="15" hidden="false" customHeight="false" outlineLevel="0" collapsed="false">
      <c r="A5" s="7" t="s">
        <v>209</v>
      </c>
      <c r="B5" s="7" t="s">
        <v>210</v>
      </c>
      <c r="C5" s="7" t="s">
        <v>88</v>
      </c>
      <c r="D5" s="7" t="s">
        <v>55</v>
      </c>
      <c r="E5" s="7" t="n">
        <v>3</v>
      </c>
      <c r="F5" s="7" t="n">
        <f aca="false">COUNTIF('Test Cases'!$C$2:$C$291,A5)</f>
        <v>6</v>
      </c>
      <c r="G5" s="7" t="s">
        <v>208</v>
      </c>
      <c r="H5" s="7" t="s">
        <v>238</v>
      </c>
      <c r="I5" s="7" t="s">
        <v>1744</v>
      </c>
      <c r="J5" s="7" t="n">
        <f aca="false">COUNTIFS('Test Cases'!$C$2:$C$291,A5,'Test Cases'!$O$2:$O$291,"Pass")</f>
        <v>0</v>
      </c>
      <c r="K5" s="7" t="n">
        <f aca="false">COUNTIFS('Test Cases'!$C$2:$C$291,A5,'Test Cases'!$O$2:$O$291,"Fail")</f>
        <v>0</v>
      </c>
      <c r="L5" s="7" t="n">
        <f aca="false">COUNTIFS('Test Cases'!$C$2:$C$291,A5,'Test Cases'!$O$2:$O$291,"Not Run")</f>
        <v>6</v>
      </c>
      <c r="M5" s="7" t="str">
        <f aca="false">IF(K5&gt;0,"Fail",IF(J5=F5,"Pass",IF(L5=F5,"Not Run","In Progress")))</f>
        <v>Not Run</v>
      </c>
    </row>
    <row r="6" customFormat="false" ht="15" hidden="false" customHeight="false" outlineLevel="0" collapsed="false">
      <c r="A6" s="7" t="s">
        <v>244</v>
      </c>
      <c r="B6" s="7" t="s">
        <v>245</v>
      </c>
      <c r="C6" s="7" t="s">
        <v>88</v>
      </c>
      <c r="D6" s="7" t="s">
        <v>56</v>
      </c>
      <c r="E6" s="7" t="n">
        <v>2</v>
      </c>
      <c r="F6" s="7" t="n">
        <f aca="false">COUNTIF('Test Cases'!$C$2:$C$291,A6)</f>
        <v>4</v>
      </c>
      <c r="G6" s="7" t="s">
        <v>243</v>
      </c>
      <c r="H6" s="7" t="s">
        <v>261</v>
      </c>
      <c r="I6" s="7" t="s">
        <v>1997</v>
      </c>
      <c r="J6" s="7" t="n">
        <f aca="false">COUNTIFS('Test Cases'!$C$2:$C$291,A6,'Test Cases'!$O$2:$O$291,"Pass")</f>
        <v>0</v>
      </c>
      <c r="K6" s="7" t="n">
        <f aca="false">COUNTIFS('Test Cases'!$C$2:$C$291,A6,'Test Cases'!$O$2:$O$291,"Fail")</f>
        <v>0</v>
      </c>
      <c r="L6" s="7" t="n">
        <f aca="false">COUNTIFS('Test Cases'!$C$2:$C$291,A6,'Test Cases'!$O$2:$O$291,"Not Run")</f>
        <v>4</v>
      </c>
      <c r="M6" s="7" t="str">
        <f aca="false">IF(K6&gt;0,"Fail",IF(J6=F6,"Pass",IF(L6=F6,"Not Run","In Progress")))</f>
        <v>Not Run</v>
      </c>
    </row>
    <row r="7" customFormat="false" ht="15" hidden="false" customHeight="false" outlineLevel="0" collapsed="false">
      <c r="A7" s="7" t="s">
        <v>267</v>
      </c>
      <c r="B7" s="7" t="s">
        <v>268</v>
      </c>
      <c r="C7" s="7" t="s">
        <v>88</v>
      </c>
      <c r="D7" s="7" t="s">
        <v>56</v>
      </c>
      <c r="E7" s="7" t="n">
        <v>2</v>
      </c>
      <c r="F7" s="7" t="n">
        <f aca="false">COUNTIF('Test Cases'!$C$2:$C$291,A7)</f>
        <v>4</v>
      </c>
      <c r="G7" s="7" t="s">
        <v>266</v>
      </c>
      <c r="H7" s="7" t="s">
        <v>285</v>
      </c>
      <c r="I7" s="7" t="s">
        <v>1998</v>
      </c>
      <c r="J7" s="7" t="n">
        <f aca="false">COUNTIFS('Test Cases'!$C$2:$C$291,A7,'Test Cases'!$O$2:$O$291,"Pass")</f>
        <v>0</v>
      </c>
      <c r="K7" s="7" t="n">
        <f aca="false">COUNTIFS('Test Cases'!$C$2:$C$291,A7,'Test Cases'!$O$2:$O$291,"Fail")</f>
        <v>0</v>
      </c>
      <c r="L7" s="7" t="n">
        <f aca="false">COUNTIFS('Test Cases'!$C$2:$C$291,A7,'Test Cases'!$O$2:$O$291,"Not Run")</f>
        <v>4</v>
      </c>
      <c r="M7" s="7" t="str">
        <f aca="false">IF(K7&gt;0,"Fail",IF(J7=F7,"Pass",IF(L7=F7,"Not Run","In Progress")))</f>
        <v>Not Run</v>
      </c>
    </row>
    <row r="8" customFormat="false" ht="15" hidden="false" customHeight="false" outlineLevel="0" collapsed="false">
      <c r="A8" s="7" t="s">
        <v>291</v>
      </c>
      <c r="B8" s="7" t="s">
        <v>292</v>
      </c>
      <c r="C8" s="7" t="s">
        <v>88</v>
      </c>
      <c r="D8" s="7" t="s">
        <v>55</v>
      </c>
      <c r="E8" s="7" t="n">
        <v>3</v>
      </c>
      <c r="F8" s="7" t="n">
        <f aca="false">COUNTIF('Test Cases'!$C$2:$C$291,A8)</f>
        <v>6</v>
      </c>
      <c r="G8" s="7" t="s">
        <v>290</v>
      </c>
      <c r="H8" s="7" t="s">
        <v>320</v>
      </c>
      <c r="I8" s="7" t="s">
        <v>1701</v>
      </c>
      <c r="J8" s="7" t="n">
        <f aca="false">COUNTIFS('Test Cases'!$C$2:$C$291,A8,'Test Cases'!$O$2:$O$291,"Pass")</f>
        <v>0</v>
      </c>
      <c r="K8" s="7" t="n">
        <f aca="false">COUNTIFS('Test Cases'!$C$2:$C$291,A8,'Test Cases'!$O$2:$O$291,"Fail")</f>
        <v>0</v>
      </c>
      <c r="L8" s="7" t="n">
        <f aca="false">COUNTIFS('Test Cases'!$C$2:$C$291,A8,'Test Cases'!$O$2:$O$291,"Not Run")</f>
        <v>6</v>
      </c>
      <c r="M8" s="7" t="str">
        <f aca="false">IF(K8&gt;0,"Fail",IF(J8=F8,"Pass",IF(L8=F8,"Not Run","In Progress")))</f>
        <v>Not Run</v>
      </c>
    </row>
    <row r="9" customFormat="false" ht="15" hidden="false" customHeight="false" outlineLevel="0" collapsed="false">
      <c r="A9" s="7" t="s">
        <v>327</v>
      </c>
      <c r="B9" s="7" t="s">
        <v>328</v>
      </c>
      <c r="C9" s="7" t="s">
        <v>326</v>
      </c>
      <c r="D9" s="7" t="s">
        <v>56</v>
      </c>
      <c r="E9" s="7" t="n">
        <v>3</v>
      </c>
      <c r="F9" s="7" t="n">
        <f aca="false">COUNTIF('Test Cases'!$C$2:$C$291,A9)</f>
        <v>6</v>
      </c>
      <c r="G9" s="7" t="s">
        <v>325</v>
      </c>
      <c r="H9" s="7" t="s">
        <v>354</v>
      </c>
      <c r="I9" s="7" t="s">
        <v>1952</v>
      </c>
      <c r="J9" s="7" t="n">
        <f aca="false">COUNTIFS('Test Cases'!$C$2:$C$291,A9,'Test Cases'!$O$2:$O$291,"Pass")</f>
        <v>0</v>
      </c>
      <c r="K9" s="7" t="n">
        <f aca="false">COUNTIFS('Test Cases'!$C$2:$C$291,A9,'Test Cases'!$O$2:$O$291,"Fail")</f>
        <v>0</v>
      </c>
      <c r="L9" s="7" t="n">
        <f aca="false">COUNTIFS('Test Cases'!$C$2:$C$291,A9,'Test Cases'!$O$2:$O$291,"Not Run")</f>
        <v>6</v>
      </c>
      <c r="M9" s="7" t="str">
        <f aca="false">IF(K9&gt;0,"Fail",IF(J9=F9,"Pass",IF(L9=F9,"Not Run","In Progress")))</f>
        <v>Not Run</v>
      </c>
    </row>
    <row r="10" customFormat="false" ht="15" hidden="false" customHeight="false" outlineLevel="0" collapsed="false">
      <c r="A10" s="7" t="s">
        <v>359</v>
      </c>
      <c r="B10" s="7" t="s">
        <v>360</v>
      </c>
      <c r="C10" s="7" t="s">
        <v>326</v>
      </c>
      <c r="D10" s="7" t="s">
        <v>56</v>
      </c>
      <c r="E10" s="7" t="n">
        <v>3</v>
      </c>
      <c r="F10" s="7" t="n">
        <f aca="false">COUNTIF('Test Cases'!$C$2:$C$291,A10)</f>
        <v>6</v>
      </c>
      <c r="G10" s="7" t="s">
        <v>358</v>
      </c>
      <c r="H10" s="7" t="s">
        <v>388</v>
      </c>
      <c r="I10" s="7" t="s">
        <v>1999</v>
      </c>
      <c r="J10" s="7" t="n">
        <f aca="false">COUNTIFS('Test Cases'!$C$2:$C$291,A10,'Test Cases'!$O$2:$O$291,"Pass")</f>
        <v>0</v>
      </c>
      <c r="K10" s="7" t="n">
        <f aca="false">COUNTIFS('Test Cases'!$C$2:$C$291,A10,'Test Cases'!$O$2:$O$291,"Fail")</f>
        <v>0</v>
      </c>
      <c r="L10" s="7" t="n">
        <f aca="false">COUNTIFS('Test Cases'!$C$2:$C$291,A10,'Test Cases'!$O$2:$O$291,"Not Run")</f>
        <v>6</v>
      </c>
      <c r="M10" s="7" t="str">
        <f aca="false">IF(K10&gt;0,"Fail",IF(J10=F10,"Pass",IF(L10=F10,"Not Run","In Progress")))</f>
        <v>Not Run</v>
      </c>
    </row>
    <row r="11" customFormat="false" ht="15" hidden="false" customHeight="false" outlineLevel="0" collapsed="false">
      <c r="A11" s="7" t="s">
        <v>394</v>
      </c>
      <c r="B11" s="7" t="s">
        <v>395</v>
      </c>
      <c r="C11" s="7" t="s">
        <v>326</v>
      </c>
      <c r="D11" s="7" t="s">
        <v>57</v>
      </c>
      <c r="E11" s="7" t="n">
        <v>2</v>
      </c>
      <c r="F11" s="7" t="n">
        <f aca="false">COUNTIF('Test Cases'!$C$2:$C$291,A11)</f>
        <v>4</v>
      </c>
      <c r="G11" s="7" t="s">
        <v>393</v>
      </c>
      <c r="H11" s="7" t="s">
        <v>410</v>
      </c>
      <c r="I11" s="7" t="s">
        <v>1952</v>
      </c>
      <c r="J11" s="7" t="n">
        <f aca="false">COUNTIFS('Test Cases'!$C$2:$C$291,A11,'Test Cases'!$O$2:$O$291,"Pass")</f>
        <v>0</v>
      </c>
      <c r="K11" s="7" t="n">
        <f aca="false">COUNTIFS('Test Cases'!$C$2:$C$291,A11,'Test Cases'!$O$2:$O$291,"Fail")</f>
        <v>0</v>
      </c>
      <c r="L11" s="7" t="n">
        <f aca="false">COUNTIFS('Test Cases'!$C$2:$C$291,A11,'Test Cases'!$O$2:$O$291,"Not Run")</f>
        <v>4</v>
      </c>
      <c r="M11" s="7" t="str">
        <f aca="false">IF(K11&gt;0,"Fail",IF(J11=F11,"Pass",IF(L11=F11,"Not Run","In Progress")))</f>
        <v>Not Run</v>
      </c>
    </row>
    <row r="12" customFormat="false" ht="15" hidden="false" customHeight="false" outlineLevel="0" collapsed="false">
      <c r="A12" s="7" t="s">
        <v>416</v>
      </c>
      <c r="B12" s="7" t="s">
        <v>417</v>
      </c>
      <c r="C12" s="7" t="s">
        <v>326</v>
      </c>
      <c r="D12" s="7" t="s">
        <v>57</v>
      </c>
      <c r="E12" s="7" t="n">
        <v>2</v>
      </c>
      <c r="F12" s="7" t="n">
        <f aca="false">COUNTIF('Test Cases'!$C$2:$C$291,A12)</f>
        <v>4</v>
      </c>
      <c r="G12" s="7" t="s">
        <v>415</v>
      </c>
      <c r="H12" s="7" t="s">
        <v>432</v>
      </c>
      <c r="I12" s="7" t="s">
        <v>1952</v>
      </c>
      <c r="J12" s="7" t="n">
        <f aca="false">COUNTIFS('Test Cases'!$C$2:$C$291,A12,'Test Cases'!$O$2:$O$291,"Pass")</f>
        <v>0</v>
      </c>
      <c r="K12" s="7" t="n">
        <f aca="false">COUNTIFS('Test Cases'!$C$2:$C$291,A12,'Test Cases'!$O$2:$O$291,"Fail")</f>
        <v>0</v>
      </c>
      <c r="L12" s="7" t="n">
        <f aca="false">COUNTIFS('Test Cases'!$C$2:$C$291,A12,'Test Cases'!$O$2:$O$291,"Not Run")</f>
        <v>4</v>
      </c>
      <c r="M12" s="7" t="str">
        <f aca="false">IF(K12&gt;0,"Fail",IF(J12=F12,"Pass",IF(L12=F12,"Not Run","In Progress")))</f>
        <v>Not Run</v>
      </c>
    </row>
    <row r="13" customFormat="false" ht="15" hidden="false" customHeight="false" outlineLevel="0" collapsed="false">
      <c r="A13" s="7" t="s">
        <v>438</v>
      </c>
      <c r="B13" s="7" t="s">
        <v>439</v>
      </c>
      <c r="C13" s="7" t="s">
        <v>437</v>
      </c>
      <c r="D13" s="7" t="s">
        <v>54</v>
      </c>
      <c r="E13" s="7" t="n">
        <v>4</v>
      </c>
      <c r="F13" s="7" t="n">
        <f aca="false">COUNTIF('Test Cases'!$C$2:$C$291,A13)</f>
        <v>8</v>
      </c>
      <c r="G13" s="7" t="s">
        <v>436</v>
      </c>
      <c r="H13" s="7" t="s">
        <v>474</v>
      </c>
      <c r="I13" s="7" t="s">
        <v>2000</v>
      </c>
      <c r="J13" s="7" t="n">
        <f aca="false">COUNTIFS('Test Cases'!$C$2:$C$291,A13,'Test Cases'!$O$2:$O$291,"Pass")</f>
        <v>0</v>
      </c>
      <c r="K13" s="7" t="n">
        <f aca="false">COUNTIFS('Test Cases'!$C$2:$C$291,A13,'Test Cases'!$O$2:$O$291,"Fail")</f>
        <v>0</v>
      </c>
      <c r="L13" s="7" t="n">
        <f aca="false">COUNTIFS('Test Cases'!$C$2:$C$291,A13,'Test Cases'!$O$2:$O$291,"Not Run")</f>
        <v>8</v>
      </c>
      <c r="M13" s="7" t="str">
        <f aca="false">IF(K13&gt;0,"Fail",IF(J13=F13,"Pass",IF(L13=F13,"Not Run","In Progress")))</f>
        <v>Not Run</v>
      </c>
    </row>
    <row r="14" customFormat="false" ht="15" hidden="false" customHeight="false" outlineLevel="0" collapsed="false">
      <c r="A14" s="7" t="s">
        <v>480</v>
      </c>
      <c r="B14" s="7" t="s">
        <v>481</v>
      </c>
      <c r="C14" s="7" t="s">
        <v>437</v>
      </c>
      <c r="D14" s="7" t="s">
        <v>56</v>
      </c>
      <c r="E14" s="7" t="n">
        <v>2</v>
      </c>
      <c r="F14" s="7" t="n">
        <f aca="false">COUNTIF('Test Cases'!$C$2:$C$291,A14)</f>
        <v>4</v>
      </c>
      <c r="G14" s="7" t="s">
        <v>479</v>
      </c>
      <c r="H14" s="7" t="s">
        <v>496</v>
      </c>
      <c r="I14" s="7" t="s">
        <v>1965</v>
      </c>
      <c r="J14" s="7" t="n">
        <f aca="false">COUNTIFS('Test Cases'!$C$2:$C$291,A14,'Test Cases'!$O$2:$O$291,"Pass")</f>
        <v>0</v>
      </c>
      <c r="K14" s="7" t="n">
        <f aca="false">COUNTIFS('Test Cases'!$C$2:$C$291,A14,'Test Cases'!$O$2:$O$291,"Fail")</f>
        <v>0</v>
      </c>
      <c r="L14" s="7" t="n">
        <f aca="false">COUNTIFS('Test Cases'!$C$2:$C$291,A14,'Test Cases'!$O$2:$O$291,"Not Run")</f>
        <v>4</v>
      </c>
      <c r="M14" s="7" t="str">
        <f aca="false">IF(K14&gt;0,"Fail",IF(J14=F14,"Pass",IF(L14=F14,"Not Run","In Progress")))</f>
        <v>Not Run</v>
      </c>
    </row>
    <row r="15" customFormat="false" ht="15" hidden="false" customHeight="false" outlineLevel="0" collapsed="false">
      <c r="A15" s="7" t="s">
        <v>501</v>
      </c>
      <c r="B15" s="7" t="s">
        <v>502</v>
      </c>
      <c r="C15" s="7" t="s">
        <v>437</v>
      </c>
      <c r="D15" s="7" t="s">
        <v>55</v>
      </c>
      <c r="E15" s="7" t="n">
        <v>4</v>
      </c>
      <c r="F15" s="7" t="n">
        <f aca="false">COUNTIF('Test Cases'!$C$2:$C$291,A15)</f>
        <v>8</v>
      </c>
      <c r="G15" s="7" t="s">
        <v>500</v>
      </c>
      <c r="H15" s="7" t="s">
        <v>537</v>
      </c>
      <c r="I15" s="7" t="s">
        <v>1672</v>
      </c>
      <c r="J15" s="7" t="n">
        <f aca="false">COUNTIFS('Test Cases'!$C$2:$C$291,A15,'Test Cases'!$O$2:$O$291,"Pass")</f>
        <v>0</v>
      </c>
      <c r="K15" s="7" t="n">
        <f aca="false">COUNTIFS('Test Cases'!$C$2:$C$291,A15,'Test Cases'!$O$2:$O$291,"Fail")</f>
        <v>0</v>
      </c>
      <c r="L15" s="7" t="n">
        <f aca="false">COUNTIFS('Test Cases'!$C$2:$C$291,A15,'Test Cases'!$O$2:$O$291,"Not Run")</f>
        <v>8</v>
      </c>
      <c r="M15" s="7" t="str">
        <f aca="false">IF(K15&gt;0,"Fail",IF(J15=F15,"Pass",IF(L15=F15,"Not Run","In Progress")))</f>
        <v>Not Run</v>
      </c>
    </row>
    <row r="16" customFormat="false" ht="15" hidden="false" customHeight="false" outlineLevel="0" collapsed="false">
      <c r="A16" s="7" t="s">
        <v>542</v>
      </c>
      <c r="B16" s="7" t="s">
        <v>543</v>
      </c>
      <c r="C16" s="7" t="s">
        <v>437</v>
      </c>
      <c r="D16" s="7" t="s">
        <v>56</v>
      </c>
      <c r="E16" s="7" t="n">
        <v>2</v>
      </c>
      <c r="F16" s="7" t="n">
        <f aca="false">COUNTIF('Test Cases'!$C$2:$C$291,A16)</f>
        <v>4</v>
      </c>
      <c r="G16" s="7" t="s">
        <v>541</v>
      </c>
      <c r="H16" s="7" t="s">
        <v>558</v>
      </c>
      <c r="I16" s="7" t="s">
        <v>1672</v>
      </c>
      <c r="J16" s="7" t="n">
        <f aca="false">COUNTIFS('Test Cases'!$C$2:$C$291,A16,'Test Cases'!$O$2:$O$291,"Pass")</f>
        <v>0</v>
      </c>
      <c r="K16" s="7" t="n">
        <f aca="false">COUNTIFS('Test Cases'!$C$2:$C$291,A16,'Test Cases'!$O$2:$O$291,"Fail")</f>
        <v>0</v>
      </c>
      <c r="L16" s="7" t="n">
        <f aca="false">COUNTIFS('Test Cases'!$C$2:$C$291,A16,'Test Cases'!$O$2:$O$291,"Not Run")</f>
        <v>4</v>
      </c>
      <c r="M16" s="7" t="str">
        <f aca="false">IF(K16&gt;0,"Fail",IF(J16=F16,"Pass",IF(L16=F16,"Not Run","In Progress")))</f>
        <v>Not Run</v>
      </c>
    </row>
    <row r="17" customFormat="false" ht="15" hidden="false" customHeight="false" outlineLevel="0" collapsed="false">
      <c r="A17" s="7" t="s">
        <v>563</v>
      </c>
      <c r="B17" s="7" t="s">
        <v>564</v>
      </c>
      <c r="C17" s="7" t="s">
        <v>437</v>
      </c>
      <c r="D17" s="7" t="s">
        <v>56</v>
      </c>
      <c r="E17" s="7" t="n">
        <v>3</v>
      </c>
      <c r="F17" s="7" t="n">
        <f aca="false">COUNTIF('Test Cases'!$C$2:$C$291,A17)</f>
        <v>6</v>
      </c>
      <c r="G17" s="7" t="s">
        <v>562</v>
      </c>
      <c r="H17" s="7" t="s">
        <v>589</v>
      </c>
      <c r="I17" s="7" t="s">
        <v>1965</v>
      </c>
      <c r="J17" s="7" t="n">
        <f aca="false">COUNTIFS('Test Cases'!$C$2:$C$291,A17,'Test Cases'!$O$2:$O$291,"Pass")</f>
        <v>0</v>
      </c>
      <c r="K17" s="7" t="n">
        <f aca="false">COUNTIFS('Test Cases'!$C$2:$C$291,A17,'Test Cases'!$O$2:$O$291,"Fail")</f>
        <v>0</v>
      </c>
      <c r="L17" s="7" t="n">
        <f aca="false">COUNTIFS('Test Cases'!$C$2:$C$291,A17,'Test Cases'!$O$2:$O$291,"Not Run")</f>
        <v>6</v>
      </c>
      <c r="M17" s="7" t="str">
        <f aca="false">IF(K17&gt;0,"Fail",IF(J17=F17,"Pass",IF(L17=F17,"Not Run","In Progress")))</f>
        <v>Not Run</v>
      </c>
    </row>
    <row r="18" customFormat="false" ht="15" hidden="false" customHeight="false" outlineLevel="0" collapsed="false">
      <c r="A18" s="7" t="s">
        <v>594</v>
      </c>
      <c r="B18" s="7" t="s">
        <v>595</v>
      </c>
      <c r="C18" s="7" t="s">
        <v>437</v>
      </c>
      <c r="D18" s="7" t="s">
        <v>57</v>
      </c>
      <c r="E18" s="7" t="n">
        <v>1</v>
      </c>
      <c r="F18" s="7" t="n">
        <f aca="false">COUNTIF('Test Cases'!$C$2:$C$291,A18)</f>
        <v>2</v>
      </c>
      <c r="G18" s="7" t="s">
        <v>593</v>
      </c>
      <c r="H18" s="7" t="s">
        <v>601</v>
      </c>
      <c r="I18" s="7" t="s">
        <v>1672</v>
      </c>
      <c r="J18" s="7" t="n">
        <f aca="false">COUNTIFS('Test Cases'!$C$2:$C$291,A18,'Test Cases'!$O$2:$O$291,"Pass")</f>
        <v>0</v>
      </c>
      <c r="K18" s="7" t="n">
        <f aca="false">COUNTIFS('Test Cases'!$C$2:$C$291,A18,'Test Cases'!$O$2:$O$291,"Fail")</f>
        <v>0</v>
      </c>
      <c r="L18" s="7" t="n">
        <f aca="false">COUNTIFS('Test Cases'!$C$2:$C$291,A18,'Test Cases'!$O$2:$O$291,"Not Run")</f>
        <v>2</v>
      </c>
      <c r="M18" s="7" t="str">
        <f aca="false">IF(K18&gt;0,"Fail",IF(J18=F18,"Pass",IF(L18=F18,"Not Run","In Progress")))</f>
        <v>Not Run</v>
      </c>
    </row>
    <row r="19" customFormat="false" ht="15" hidden="false" customHeight="false" outlineLevel="0" collapsed="false">
      <c r="A19" s="7" t="s">
        <v>607</v>
      </c>
      <c r="B19" s="7" t="s">
        <v>608</v>
      </c>
      <c r="C19" s="7" t="s">
        <v>606</v>
      </c>
      <c r="D19" s="7" t="s">
        <v>55</v>
      </c>
      <c r="E19" s="7" t="n">
        <v>3</v>
      </c>
      <c r="F19" s="7" t="n">
        <f aca="false">COUNTIF('Test Cases'!$C$2:$C$291,A19)</f>
        <v>6</v>
      </c>
      <c r="G19" s="7" t="s">
        <v>605</v>
      </c>
      <c r="H19" s="7" t="s">
        <v>635</v>
      </c>
      <c r="I19" s="7" t="s">
        <v>1672</v>
      </c>
      <c r="J19" s="7" t="n">
        <f aca="false">COUNTIFS('Test Cases'!$C$2:$C$291,A19,'Test Cases'!$O$2:$O$291,"Pass")</f>
        <v>0</v>
      </c>
      <c r="K19" s="7" t="n">
        <f aca="false">COUNTIFS('Test Cases'!$C$2:$C$291,A19,'Test Cases'!$O$2:$O$291,"Fail")</f>
        <v>0</v>
      </c>
      <c r="L19" s="7" t="n">
        <f aca="false">COUNTIFS('Test Cases'!$C$2:$C$291,A19,'Test Cases'!$O$2:$O$291,"Not Run")</f>
        <v>6</v>
      </c>
      <c r="M19" s="7" t="str">
        <f aca="false">IF(K19&gt;0,"Fail",IF(J19=F19,"Pass",IF(L19=F19,"Not Run","In Progress")))</f>
        <v>Not Run</v>
      </c>
    </row>
    <row r="20" customFormat="false" ht="15" hidden="false" customHeight="false" outlineLevel="0" collapsed="false">
      <c r="A20" s="7" t="s">
        <v>640</v>
      </c>
      <c r="B20" s="7" t="s">
        <v>641</v>
      </c>
      <c r="C20" s="7" t="s">
        <v>606</v>
      </c>
      <c r="D20" s="7" t="s">
        <v>54</v>
      </c>
      <c r="E20" s="7" t="n">
        <v>3</v>
      </c>
      <c r="F20" s="7" t="n">
        <f aca="false">COUNTIF('Test Cases'!$C$2:$C$291,A20)</f>
        <v>6</v>
      </c>
      <c r="G20" s="7" t="s">
        <v>639</v>
      </c>
      <c r="H20" s="7" t="s">
        <v>667</v>
      </c>
      <c r="I20" s="7" t="s">
        <v>2001</v>
      </c>
      <c r="J20" s="7" t="n">
        <f aca="false">COUNTIFS('Test Cases'!$C$2:$C$291,A20,'Test Cases'!$O$2:$O$291,"Pass")</f>
        <v>0</v>
      </c>
      <c r="K20" s="7" t="n">
        <f aca="false">COUNTIFS('Test Cases'!$C$2:$C$291,A20,'Test Cases'!$O$2:$O$291,"Fail")</f>
        <v>0</v>
      </c>
      <c r="L20" s="7" t="n">
        <f aca="false">COUNTIFS('Test Cases'!$C$2:$C$291,A20,'Test Cases'!$O$2:$O$291,"Not Run")</f>
        <v>6</v>
      </c>
      <c r="M20" s="7" t="str">
        <f aca="false">IF(K20&gt;0,"Fail",IF(J20=F20,"Pass",IF(L20=F20,"Not Run","In Progress")))</f>
        <v>Not Run</v>
      </c>
    </row>
    <row r="21" customFormat="false" ht="15" hidden="false" customHeight="false" outlineLevel="0" collapsed="false">
      <c r="A21" s="7" t="s">
        <v>672</v>
      </c>
      <c r="B21" s="7" t="s">
        <v>673</v>
      </c>
      <c r="C21" s="7" t="s">
        <v>606</v>
      </c>
      <c r="D21" s="7" t="s">
        <v>55</v>
      </c>
      <c r="E21" s="7" t="n">
        <v>2</v>
      </c>
      <c r="F21" s="7" t="n">
        <f aca="false">COUNTIF('Test Cases'!$C$2:$C$291,A21)</f>
        <v>4</v>
      </c>
      <c r="G21" s="7" t="s">
        <v>671</v>
      </c>
      <c r="H21" s="7" t="s">
        <v>689</v>
      </c>
      <c r="I21" s="7" t="s">
        <v>2002</v>
      </c>
      <c r="J21" s="7" t="n">
        <f aca="false">COUNTIFS('Test Cases'!$C$2:$C$291,A21,'Test Cases'!$O$2:$O$291,"Pass")</f>
        <v>0</v>
      </c>
      <c r="K21" s="7" t="n">
        <f aca="false">COUNTIFS('Test Cases'!$C$2:$C$291,A21,'Test Cases'!$O$2:$O$291,"Fail")</f>
        <v>0</v>
      </c>
      <c r="L21" s="7" t="n">
        <f aca="false">COUNTIFS('Test Cases'!$C$2:$C$291,A21,'Test Cases'!$O$2:$O$291,"Not Run")</f>
        <v>4</v>
      </c>
      <c r="M21" s="7" t="str">
        <f aca="false">IF(K21&gt;0,"Fail",IF(J21=F21,"Pass",IF(L21=F21,"Not Run","In Progress")))</f>
        <v>Not Run</v>
      </c>
    </row>
    <row r="22" customFormat="false" ht="15" hidden="false" customHeight="false" outlineLevel="0" collapsed="false">
      <c r="A22" s="7" t="s">
        <v>695</v>
      </c>
      <c r="B22" s="7" t="s">
        <v>696</v>
      </c>
      <c r="C22" s="7" t="s">
        <v>606</v>
      </c>
      <c r="D22" s="7" t="s">
        <v>56</v>
      </c>
      <c r="E22" s="7" t="n">
        <v>3</v>
      </c>
      <c r="F22" s="7" t="n">
        <f aca="false">COUNTIF('Test Cases'!$C$2:$C$291,A22)</f>
        <v>6</v>
      </c>
      <c r="G22" s="7" t="s">
        <v>694</v>
      </c>
      <c r="H22" s="7" t="s">
        <v>722</v>
      </c>
      <c r="I22" s="7" t="s">
        <v>1937</v>
      </c>
      <c r="J22" s="7" t="n">
        <f aca="false">COUNTIFS('Test Cases'!$C$2:$C$291,A22,'Test Cases'!$O$2:$O$291,"Pass")</f>
        <v>0</v>
      </c>
      <c r="K22" s="7" t="n">
        <f aca="false">COUNTIFS('Test Cases'!$C$2:$C$291,A22,'Test Cases'!$O$2:$O$291,"Fail")</f>
        <v>0</v>
      </c>
      <c r="L22" s="7" t="n">
        <f aca="false">COUNTIFS('Test Cases'!$C$2:$C$291,A22,'Test Cases'!$O$2:$O$291,"Not Run")</f>
        <v>6</v>
      </c>
      <c r="M22" s="7" t="str">
        <f aca="false">IF(K22&gt;0,"Fail",IF(J22=F22,"Pass",IF(L22=F22,"Not Run","In Progress")))</f>
        <v>Not Run</v>
      </c>
    </row>
    <row r="23" customFormat="false" ht="15" hidden="false" customHeight="false" outlineLevel="0" collapsed="false">
      <c r="A23" s="7" t="s">
        <v>728</v>
      </c>
      <c r="B23" s="7" t="s">
        <v>729</v>
      </c>
      <c r="C23" s="7" t="s">
        <v>606</v>
      </c>
      <c r="D23" s="7" t="s">
        <v>57</v>
      </c>
      <c r="E23" s="7" t="n">
        <v>2</v>
      </c>
      <c r="F23" s="7" t="n">
        <f aca="false">COUNTIF('Test Cases'!$C$2:$C$291,A23)</f>
        <v>4</v>
      </c>
      <c r="G23" s="7" t="s">
        <v>727</v>
      </c>
      <c r="H23" s="7" t="s">
        <v>744</v>
      </c>
      <c r="I23" s="7" t="s">
        <v>1672</v>
      </c>
      <c r="J23" s="7" t="n">
        <f aca="false">COUNTIFS('Test Cases'!$C$2:$C$291,A23,'Test Cases'!$O$2:$O$291,"Pass")</f>
        <v>0</v>
      </c>
      <c r="K23" s="7" t="n">
        <f aca="false">COUNTIFS('Test Cases'!$C$2:$C$291,A23,'Test Cases'!$O$2:$O$291,"Fail")</f>
        <v>0</v>
      </c>
      <c r="L23" s="7" t="n">
        <f aca="false">COUNTIFS('Test Cases'!$C$2:$C$291,A23,'Test Cases'!$O$2:$O$291,"Not Run")</f>
        <v>4</v>
      </c>
      <c r="M23" s="7" t="str">
        <f aca="false">IF(K23&gt;0,"Fail",IF(J23=F23,"Pass",IF(L23=F23,"Not Run","In Progress")))</f>
        <v>Not Run</v>
      </c>
    </row>
    <row r="24" customFormat="false" ht="15" hidden="false" customHeight="false" outlineLevel="0" collapsed="false">
      <c r="A24" s="7" t="s">
        <v>749</v>
      </c>
      <c r="B24" s="7" t="s">
        <v>750</v>
      </c>
      <c r="C24" s="7" t="s">
        <v>606</v>
      </c>
      <c r="D24" s="7" t="s">
        <v>57</v>
      </c>
      <c r="E24" s="7" t="n">
        <v>2</v>
      </c>
      <c r="F24" s="7" t="n">
        <f aca="false">COUNTIF('Test Cases'!$C$2:$C$291,A24)</f>
        <v>4</v>
      </c>
      <c r="G24" s="7" t="s">
        <v>748</v>
      </c>
      <c r="H24" s="7" t="s">
        <v>765</v>
      </c>
      <c r="I24" s="7" t="s">
        <v>1906</v>
      </c>
      <c r="J24" s="7" t="n">
        <f aca="false">COUNTIFS('Test Cases'!$C$2:$C$291,A24,'Test Cases'!$O$2:$O$291,"Pass")</f>
        <v>0</v>
      </c>
      <c r="K24" s="7" t="n">
        <f aca="false">COUNTIFS('Test Cases'!$C$2:$C$291,A24,'Test Cases'!$O$2:$O$291,"Fail")</f>
        <v>0</v>
      </c>
      <c r="L24" s="7" t="n">
        <f aca="false">COUNTIFS('Test Cases'!$C$2:$C$291,A24,'Test Cases'!$O$2:$O$291,"Not Run")</f>
        <v>4</v>
      </c>
      <c r="M24" s="7" t="str">
        <f aca="false">IF(K24&gt;0,"Fail",IF(J24=F24,"Pass",IF(L24=F24,"Not Run","In Progress")))</f>
        <v>Not Run</v>
      </c>
    </row>
    <row r="25" customFormat="false" ht="15" hidden="false" customHeight="false" outlineLevel="0" collapsed="false">
      <c r="A25" s="7" t="s">
        <v>770</v>
      </c>
      <c r="B25" s="7" t="s">
        <v>771</v>
      </c>
      <c r="C25" s="7" t="s">
        <v>606</v>
      </c>
      <c r="D25" s="7" t="s">
        <v>56</v>
      </c>
      <c r="E25" s="7" t="n">
        <v>2</v>
      </c>
      <c r="F25" s="7" t="n">
        <f aca="false">COUNTIF('Test Cases'!$C$2:$C$291,A25)</f>
        <v>4</v>
      </c>
      <c r="G25" s="7" t="s">
        <v>769</v>
      </c>
      <c r="H25" s="7" t="s">
        <v>786</v>
      </c>
      <c r="I25" s="7" t="s">
        <v>1716</v>
      </c>
      <c r="J25" s="7" t="n">
        <f aca="false">COUNTIFS('Test Cases'!$C$2:$C$291,A25,'Test Cases'!$O$2:$O$291,"Pass")</f>
        <v>0</v>
      </c>
      <c r="K25" s="7" t="n">
        <f aca="false">COUNTIFS('Test Cases'!$C$2:$C$291,A25,'Test Cases'!$O$2:$O$291,"Fail")</f>
        <v>0</v>
      </c>
      <c r="L25" s="7" t="n">
        <f aca="false">COUNTIFS('Test Cases'!$C$2:$C$291,A25,'Test Cases'!$O$2:$O$291,"Not Run")</f>
        <v>4</v>
      </c>
      <c r="M25" s="7" t="str">
        <f aca="false">IF(K25&gt;0,"Fail",IF(J25=F25,"Pass",IF(L25=F25,"Not Run","In Progress")))</f>
        <v>Not Run</v>
      </c>
    </row>
    <row r="26" customFormat="false" ht="22.35" hidden="false" customHeight="false" outlineLevel="0" collapsed="false">
      <c r="A26" s="7" t="s">
        <v>792</v>
      </c>
      <c r="B26" s="7" t="s">
        <v>793</v>
      </c>
      <c r="C26" s="7" t="s">
        <v>791</v>
      </c>
      <c r="D26" s="7" t="s">
        <v>54</v>
      </c>
      <c r="E26" s="7" t="n">
        <v>3</v>
      </c>
      <c r="F26" s="7" t="n">
        <f aca="false">COUNTIF('Test Cases'!$C$2:$C$291,A26)</f>
        <v>6</v>
      </c>
      <c r="G26" s="7" t="s">
        <v>790</v>
      </c>
      <c r="H26" s="7" t="s">
        <v>820</v>
      </c>
      <c r="I26" s="7" t="s">
        <v>2003</v>
      </c>
      <c r="J26" s="7" t="n">
        <f aca="false">COUNTIFS('Test Cases'!$C$2:$C$291,A26,'Test Cases'!$O$2:$O$291,"Pass")</f>
        <v>0</v>
      </c>
      <c r="K26" s="7" t="n">
        <f aca="false">COUNTIFS('Test Cases'!$C$2:$C$291,A26,'Test Cases'!$O$2:$O$291,"Fail")</f>
        <v>0</v>
      </c>
      <c r="L26" s="7" t="n">
        <f aca="false">COUNTIFS('Test Cases'!$C$2:$C$291,A26,'Test Cases'!$O$2:$O$291,"Not Run")</f>
        <v>6</v>
      </c>
      <c r="M26" s="7" t="str">
        <f aca="false">IF(K26&gt;0,"Fail",IF(J26=F26,"Pass",IF(L26=F26,"Not Run","In Progress")))</f>
        <v>Not Run</v>
      </c>
    </row>
    <row r="27" customFormat="false" ht="15" hidden="false" customHeight="false" outlineLevel="0" collapsed="false">
      <c r="A27" s="7" t="s">
        <v>825</v>
      </c>
      <c r="B27" s="7" t="s">
        <v>826</v>
      </c>
      <c r="C27" s="7" t="s">
        <v>791</v>
      </c>
      <c r="D27" s="7" t="s">
        <v>55</v>
      </c>
      <c r="E27" s="7" t="n">
        <v>3</v>
      </c>
      <c r="F27" s="7" t="n">
        <f aca="false">COUNTIF('Test Cases'!$C$2:$C$291,A27)</f>
        <v>6</v>
      </c>
      <c r="G27" s="7" t="s">
        <v>824</v>
      </c>
      <c r="H27" s="7" t="s">
        <v>852</v>
      </c>
      <c r="I27" s="7" t="s">
        <v>2004</v>
      </c>
      <c r="J27" s="7" t="n">
        <f aca="false">COUNTIFS('Test Cases'!$C$2:$C$291,A27,'Test Cases'!$O$2:$O$291,"Pass")</f>
        <v>0</v>
      </c>
      <c r="K27" s="7" t="n">
        <f aca="false">COUNTIFS('Test Cases'!$C$2:$C$291,A27,'Test Cases'!$O$2:$O$291,"Fail")</f>
        <v>0</v>
      </c>
      <c r="L27" s="7" t="n">
        <f aca="false">COUNTIFS('Test Cases'!$C$2:$C$291,A27,'Test Cases'!$O$2:$O$291,"Not Run")</f>
        <v>6</v>
      </c>
      <c r="M27" s="7" t="str">
        <f aca="false">IF(K27&gt;0,"Fail",IF(J27=F27,"Pass",IF(L27=F27,"Not Run","In Progress")))</f>
        <v>Not Run</v>
      </c>
    </row>
    <row r="28" customFormat="false" ht="15" hidden="false" customHeight="false" outlineLevel="0" collapsed="false">
      <c r="A28" s="7" t="s">
        <v>857</v>
      </c>
      <c r="B28" s="7" t="s">
        <v>858</v>
      </c>
      <c r="C28" s="7" t="s">
        <v>791</v>
      </c>
      <c r="D28" s="7" t="s">
        <v>55</v>
      </c>
      <c r="E28" s="7" t="n">
        <v>2</v>
      </c>
      <c r="F28" s="7" t="n">
        <f aca="false">COUNTIF('Test Cases'!$C$2:$C$291,A28)</f>
        <v>4</v>
      </c>
      <c r="G28" s="7" t="s">
        <v>856</v>
      </c>
      <c r="H28" s="7" t="s">
        <v>873</v>
      </c>
      <c r="I28" s="7" t="s">
        <v>1838</v>
      </c>
      <c r="J28" s="7" t="n">
        <f aca="false">COUNTIFS('Test Cases'!$C$2:$C$291,A28,'Test Cases'!$O$2:$O$291,"Pass")</f>
        <v>0</v>
      </c>
      <c r="K28" s="7" t="n">
        <f aca="false">COUNTIFS('Test Cases'!$C$2:$C$291,A28,'Test Cases'!$O$2:$O$291,"Fail")</f>
        <v>0</v>
      </c>
      <c r="L28" s="7" t="n">
        <f aca="false">COUNTIFS('Test Cases'!$C$2:$C$291,A28,'Test Cases'!$O$2:$O$291,"Not Run")</f>
        <v>4</v>
      </c>
      <c r="M28" s="7" t="str">
        <f aca="false">IF(K28&gt;0,"Fail",IF(J28=F28,"Pass",IF(L28=F28,"Not Run","In Progress")))</f>
        <v>Not Run</v>
      </c>
    </row>
    <row r="29" customFormat="false" ht="15" hidden="false" customHeight="false" outlineLevel="0" collapsed="false">
      <c r="A29" s="7" t="s">
        <v>878</v>
      </c>
      <c r="B29" s="7" t="s">
        <v>879</v>
      </c>
      <c r="C29" s="7" t="s">
        <v>791</v>
      </c>
      <c r="D29" s="7" t="s">
        <v>56</v>
      </c>
      <c r="E29" s="7" t="n">
        <v>2</v>
      </c>
      <c r="F29" s="7" t="n">
        <f aca="false">COUNTIF('Test Cases'!$C$2:$C$291,A29)</f>
        <v>4</v>
      </c>
      <c r="G29" s="7" t="s">
        <v>877</v>
      </c>
      <c r="H29" s="7" t="s">
        <v>894</v>
      </c>
      <c r="I29" s="7" t="s">
        <v>2005</v>
      </c>
      <c r="J29" s="7" t="n">
        <f aca="false">COUNTIFS('Test Cases'!$C$2:$C$291,A29,'Test Cases'!$O$2:$O$291,"Pass")</f>
        <v>0</v>
      </c>
      <c r="K29" s="7" t="n">
        <f aca="false">COUNTIFS('Test Cases'!$C$2:$C$291,A29,'Test Cases'!$O$2:$O$291,"Fail")</f>
        <v>0</v>
      </c>
      <c r="L29" s="7" t="n">
        <f aca="false">COUNTIFS('Test Cases'!$C$2:$C$291,A29,'Test Cases'!$O$2:$O$291,"Not Run")</f>
        <v>4</v>
      </c>
      <c r="M29" s="7" t="str">
        <f aca="false">IF(K29&gt;0,"Fail",IF(J29=F29,"Pass",IF(L29=F29,"Not Run","In Progress")))</f>
        <v>Not Run</v>
      </c>
    </row>
    <row r="30" customFormat="false" ht="15" hidden="false" customHeight="false" outlineLevel="0" collapsed="false">
      <c r="A30" s="7" t="s">
        <v>899</v>
      </c>
      <c r="B30" s="7" t="s">
        <v>900</v>
      </c>
      <c r="C30" s="7" t="s">
        <v>791</v>
      </c>
      <c r="D30" s="7" t="s">
        <v>54</v>
      </c>
      <c r="E30" s="7" t="n">
        <v>2</v>
      </c>
      <c r="F30" s="7" t="n">
        <f aca="false">COUNTIF('Test Cases'!$C$2:$C$291,A30)</f>
        <v>4</v>
      </c>
      <c r="G30" s="7" t="s">
        <v>898</v>
      </c>
      <c r="H30" s="7" t="s">
        <v>917</v>
      </c>
      <c r="I30" s="7" t="s">
        <v>2006</v>
      </c>
      <c r="J30" s="7" t="n">
        <f aca="false">COUNTIFS('Test Cases'!$C$2:$C$291,A30,'Test Cases'!$O$2:$O$291,"Pass")</f>
        <v>0</v>
      </c>
      <c r="K30" s="7" t="n">
        <f aca="false">COUNTIFS('Test Cases'!$C$2:$C$291,A30,'Test Cases'!$O$2:$O$291,"Fail")</f>
        <v>0</v>
      </c>
      <c r="L30" s="7" t="n">
        <f aca="false">COUNTIFS('Test Cases'!$C$2:$C$291,A30,'Test Cases'!$O$2:$O$291,"Not Run")</f>
        <v>4</v>
      </c>
      <c r="M30" s="7" t="str">
        <f aca="false">IF(K30&gt;0,"Fail",IF(J30=F30,"Pass",IF(L30=F30,"Not Run","In Progress")))</f>
        <v>Not Run</v>
      </c>
    </row>
    <row r="31" customFormat="false" ht="15" hidden="false" customHeight="false" outlineLevel="0" collapsed="false">
      <c r="A31" s="7" t="s">
        <v>922</v>
      </c>
      <c r="B31" s="7" t="s">
        <v>923</v>
      </c>
      <c r="C31" s="7" t="s">
        <v>791</v>
      </c>
      <c r="D31" s="7" t="s">
        <v>55</v>
      </c>
      <c r="E31" s="7" t="n">
        <v>3</v>
      </c>
      <c r="F31" s="7" t="n">
        <f aca="false">COUNTIF('Test Cases'!$C$2:$C$291,A31)</f>
        <v>6</v>
      </c>
      <c r="G31" s="7" t="s">
        <v>921</v>
      </c>
      <c r="H31" s="7" t="s">
        <v>947</v>
      </c>
      <c r="I31" s="7" t="s">
        <v>2007</v>
      </c>
      <c r="J31" s="7" t="n">
        <f aca="false">COUNTIFS('Test Cases'!$C$2:$C$291,A31,'Test Cases'!$O$2:$O$291,"Pass")</f>
        <v>0</v>
      </c>
      <c r="K31" s="7" t="n">
        <f aca="false">COUNTIFS('Test Cases'!$C$2:$C$291,A31,'Test Cases'!$O$2:$O$291,"Fail")</f>
        <v>0</v>
      </c>
      <c r="L31" s="7" t="n">
        <f aca="false">COUNTIFS('Test Cases'!$C$2:$C$291,A31,'Test Cases'!$O$2:$O$291,"Not Run")</f>
        <v>6</v>
      </c>
      <c r="M31" s="7" t="str">
        <f aca="false">IF(K31&gt;0,"Fail",IF(J31=F31,"Pass",IF(L31=F31,"Not Run","In Progress")))</f>
        <v>Not Run</v>
      </c>
    </row>
    <row r="32" customFormat="false" ht="15" hidden="false" customHeight="false" outlineLevel="0" collapsed="false">
      <c r="A32" s="7" t="s">
        <v>952</v>
      </c>
      <c r="B32" s="7" t="s">
        <v>953</v>
      </c>
      <c r="C32" s="7" t="s">
        <v>791</v>
      </c>
      <c r="D32" s="7" t="s">
        <v>57</v>
      </c>
      <c r="E32" s="7" t="n">
        <v>1</v>
      </c>
      <c r="F32" s="7" t="n">
        <f aca="false">COUNTIF('Test Cases'!$C$2:$C$291,A32)</f>
        <v>2</v>
      </c>
      <c r="G32" s="7" t="s">
        <v>951</v>
      </c>
      <c r="H32" s="7" t="s">
        <v>960</v>
      </c>
      <c r="I32" s="7" t="s">
        <v>1672</v>
      </c>
      <c r="J32" s="7" t="n">
        <f aca="false">COUNTIFS('Test Cases'!$C$2:$C$291,A32,'Test Cases'!$O$2:$O$291,"Pass")</f>
        <v>0</v>
      </c>
      <c r="K32" s="7" t="n">
        <f aca="false">COUNTIFS('Test Cases'!$C$2:$C$291,A32,'Test Cases'!$O$2:$O$291,"Fail")</f>
        <v>0</v>
      </c>
      <c r="L32" s="7" t="n">
        <f aca="false">COUNTIFS('Test Cases'!$C$2:$C$291,A32,'Test Cases'!$O$2:$O$291,"Not Run")</f>
        <v>2</v>
      </c>
      <c r="M32" s="7" t="str">
        <f aca="false">IF(K32&gt;0,"Fail",IF(J32=F32,"Pass",IF(L32=F32,"Not Run","In Progress")))</f>
        <v>Not Run</v>
      </c>
    </row>
    <row r="33" customFormat="false" ht="15" hidden="false" customHeight="false" outlineLevel="0" collapsed="false">
      <c r="A33" s="7" t="s">
        <v>966</v>
      </c>
      <c r="B33" s="7" t="s">
        <v>967</v>
      </c>
      <c r="C33" s="7" t="s">
        <v>965</v>
      </c>
      <c r="D33" s="7" t="s">
        <v>54</v>
      </c>
      <c r="E33" s="7" t="n">
        <v>3</v>
      </c>
      <c r="F33" s="7" t="n">
        <f aca="false">COUNTIF('Test Cases'!$C$2:$C$291,A33)</f>
        <v>6</v>
      </c>
      <c r="G33" s="7" t="s">
        <v>964</v>
      </c>
      <c r="H33" s="7" t="s">
        <v>993</v>
      </c>
      <c r="I33" s="7" t="s">
        <v>2008</v>
      </c>
      <c r="J33" s="7" t="n">
        <f aca="false">COUNTIFS('Test Cases'!$C$2:$C$291,A33,'Test Cases'!$O$2:$O$291,"Pass")</f>
        <v>0</v>
      </c>
      <c r="K33" s="7" t="n">
        <f aca="false">COUNTIFS('Test Cases'!$C$2:$C$291,A33,'Test Cases'!$O$2:$O$291,"Fail")</f>
        <v>0</v>
      </c>
      <c r="L33" s="7" t="n">
        <f aca="false">COUNTIFS('Test Cases'!$C$2:$C$291,A33,'Test Cases'!$O$2:$O$291,"Not Run")</f>
        <v>6</v>
      </c>
      <c r="M33" s="7" t="str">
        <f aca="false">IF(K33&gt;0,"Fail",IF(J33=F33,"Pass",IF(L33=F33,"Not Run","In Progress")))</f>
        <v>Not Run</v>
      </c>
    </row>
    <row r="34" customFormat="false" ht="15" hidden="false" customHeight="false" outlineLevel="0" collapsed="false">
      <c r="A34" s="7" t="s">
        <v>999</v>
      </c>
      <c r="B34" s="7" t="s">
        <v>1000</v>
      </c>
      <c r="C34" s="7" t="s">
        <v>965</v>
      </c>
      <c r="D34" s="7" t="s">
        <v>56</v>
      </c>
      <c r="E34" s="7" t="n">
        <v>2</v>
      </c>
      <c r="F34" s="7" t="n">
        <f aca="false">COUNTIF('Test Cases'!$C$2:$C$291,A34)</f>
        <v>4</v>
      </c>
      <c r="G34" s="7" t="s">
        <v>998</v>
      </c>
      <c r="H34" s="7" t="s">
        <v>1015</v>
      </c>
      <c r="I34" s="7" t="s">
        <v>1672</v>
      </c>
      <c r="J34" s="7" t="n">
        <f aca="false">COUNTIFS('Test Cases'!$C$2:$C$291,A34,'Test Cases'!$O$2:$O$291,"Pass")</f>
        <v>0</v>
      </c>
      <c r="K34" s="7" t="n">
        <f aca="false">COUNTIFS('Test Cases'!$C$2:$C$291,A34,'Test Cases'!$O$2:$O$291,"Fail")</f>
        <v>0</v>
      </c>
      <c r="L34" s="7" t="n">
        <f aca="false">COUNTIFS('Test Cases'!$C$2:$C$291,A34,'Test Cases'!$O$2:$O$291,"Not Run")</f>
        <v>4</v>
      </c>
      <c r="M34" s="7" t="str">
        <f aca="false">IF(K34&gt;0,"Fail",IF(J34=F34,"Pass",IF(L34=F34,"Not Run","In Progress")))</f>
        <v>Not Run</v>
      </c>
    </row>
    <row r="35" customFormat="false" ht="22.35" hidden="false" customHeight="false" outlineLevel="0" collapsed="false">
      <c r="A35" s="7" t="s">
        <v>1021</v>
      </c>
      <c r="B35" s="7" t="s">
        <v>1022</v>
      </c>
      <c r="C35" s="7" t="s">
        <v>965</v>
      </c>
      <c r="D35" s="7" t="s">
        <v>54</v>
      </c>
      <c r="E35" s="7" t="n">
        <v>3</v>
      </c>
      <c r="F35" s="7" t="n">
        <f aca="false">COUNTIF('Test Cases'!$C$2:$C$291,A35)</f>
        <v>6</v>
      </c>
      <c r="G35" s="7" t="s">
        <v>1020</v>
      </c>
      <c r="H35" s="7" t="s">
        <v>1050</v>
      </c>
      <c r="I35" s="7" t="s">
        <v>2009</v>
      </c>
      <c r="J35" s="7" t="n">
        <f aca="false">COUNTIFS('Test Cases'!$C$2:$C$291,A35,'Test Cases'!$O$2:$O$291,"Pass")</f>
        <v>0</v>
      </c>
      <c r="K35" s="7" t="n">
        <f aca="false">COUNTIFS('Test Cases'!$C$2:$C$291,A35,'Test Cases'!$O$2:$O$291,"Fail")</f>
        <v>0</v>
      </c>
      <c r="L35" s="7" t="n">
        <f aca="false">COUNTIFS('Test Cases'!$C$2:$C$291,A35,'Test Cases'!$O$2:$O$291,"Not Run")</f>
        <v>6</v>
      </c>
      <c r="M35" s="7" t="str">
        <f aca="false">IF(K35&gt;0,"Fail",IF(J35=F35,"Pass",IF(L35=F35,"Not Run","In Progress")))</f>
        <v>Not Run</v>
      </c>
    </row>
    <row r="36" customFormat="false" ht="15" hidden="false" customHeight="false" outlineLevel="0" collapsed="false">
      <c r="A36" s="7" t="s">
        <v>1055</v>
      </c>
      <c r="B36" s="7" t="s">
        <v>1056</v>
      </c>
      <c r="C36" s="7" t="s">
        <v>965</v>
      </c>
      <c r="D36" s="7" t="s">
        <v>55</v>
      </c>
      <c r="E36" s="7" t="n">
        <v>2</v>
      </c>
      <c r="F36" s="7" t="n">
        <f aca="false">COUNTIF('Test Cases'!$C$2:$C$291,A36)</f>
        <v>4</v>
      </c>
      <c r="G36" s="7" t="s">
        <v>1054</v>
      </c>
      <c r="H36" s="7" t="s">
        <v>1071</v>
      </c>
      <c r="I36" s="7" t="s">
        <v>2010</v>
      </c>
      <c r="J36" s="7" t="n">
        <f aca="false">COUNTIFS('Test Cases'!$C$2:$C$291,A36,'Test Cases'!$O$2:$O$291,"Pass")</f>
        <v>0</v>
      </c>
      <c r="K36" s="7" t="n">
        <f aca="false">COUNTIFS('Test Cases'!$C$2:$C$291,A36,'Test Cases'!$O$2:$O$291,"Fail")</f>
        <v>0</v>
      </c>
      <c r="L36" s="7" t="n">
        <f aca="false">COUNTIFS('Test Cases'!$C$2:$C$291,A36,'Test Cases'!$O$2:$O$291,"Not Run")</f>
        <v>4</v>
      </c>
      <c r="M36" s="7" t="str">
        <f aca="false">IF(K36&gt;0,"Fail",IF(J36=F36,"Pass",IF(L36=F36,"Not Run","In Progress")))</f>
        <v>Not Run</v>
      </c>
    </row>
    <row r="37" customFormat="false" ht="22.35" hidden="false" customHeight="false" outlineLevel="0" collapsed="false">
      <c r="A37" s="7" t="s">
        <v>1076</v>
      </c>
      <c r="B37" s="7" t="s">
        <v>1077</v>
      </c>
      <c r="C37" s="7" t="s">
        <v>965</v>
      </c>
      <c r="D37" s="7" t="s">
        <v>54</v>
      </c>
      <c r="E37" s="7" t="n">
        <v>3</v>
      </c>
      <c r="F37" s="7" t="n">
        <f aca="false">COUNTIF('Test Cases'!$C$2:$C$291,A37)</f>
        <v>6</v>
      </c>
      <c r="G37" s="7" t="s">
        <v>1075</v>
      </c>
      <c r="H37" s="7" t="s">
        <v>1101</v>
      </c>
      <c r="I37" s="7" t="s">
        <v>2011</v>
      </c>
      <c r="J37" s="7" t="n">
        <f aca="false">COUNTIFS('Test Cases'!$C$2:$C$291,A37,'Test Cases'!$O$2:$O$291,"Pass")</f>
        <v>0</v>
      </c>
      <c r="K37" s="7" t="n">
        <f aca="false">COUNTIFS('Test Cases'!$C$2:$C$291,A37,'Test Cases'!$O$2:$O$291,"Fail")</f>
        <v>0</v>
      </c>
      <c r="L37" s="7" t="n">
        <f aca="false">COUNTIFS('Test Cases'!$C$2:$C$291,A37,'Test Cases'!$O$2:$O$291,"Not Run")</f>
        <v>6</v>
      </c>
      <c r="M37" s="7" t="str">
        <f aca="false">IF(K37&gt;0,"Fail",IF(J37=F37,"Pass",IF(L37=F37,"Not Run","In Progress")))</f>
        <v>Not Run</v>
      </c>
    </row>
    <row r="38" customFormat="false" ht="15" hidden="false" customHeight="false" outlineLevel="0" collapsed="false">
      <c r="A38" s="7" t="s">
        <v>1106</v>
      </c>
      <c r="B38" s="7" t="s">
        <v>1107</v>
      </c>
      <c r="C38" s="7" t="s">
        <v>965</v>
      </c>
      <c r="D38" s="7" t="s">
        <v>54</v>
      </c>
      <c r="E38" s="7" t="n">
        <v>2</v>
      </c>
      <c r="F38" s="7" t="n">
        <f aca="false">COUNTIF('Test Cases'!$C$2:$C$291,A38)</f>
        <v>4</v>
      </c>
      <c r="G38" s="7" t="s">
        <v>1105</v>
      </c>
      <c r="H38" s="7" t="s">
        <v>1122</v>
      </c>
      <c r="I38" s="7" t="s">
        <v>2012</v>
      </c>
      <c r="J38" s="7" t="n">
        <f aca="false">COUNTIFS('Test Cases'!$C$2:$C$291,A38,'Test Cases'!$O$2:$O$291,"Pass")</f>
        <v>0</v>
      </c>
      <c r="K38" s="7" t="n">
        <f aca="false">COUNTIFS('Test Cases'!$C$2:$C$291,A38,'Test Cases'!$O$2:$O$291,"Fail")</f>
        <v>0</v>
      </c>
      <c r="L38" s="7" t="n">
        <f aca="false">COUNTIFS('Test Cases'!$C$2:$C$291,A38,'Test Cases'!$O$2:$O$291,"Not Run")</f>
        <v>4</v>
      </c>
      <c r="M38" s="7" t="str">
        <f aca="false">IF(K38&gt;0,"Fail",IF(J38=F38,"Pass",IF(L38=F38,"Not Run","In Progress")))</f>
        <v>Not Run</v>
      </c>
    </row>
    <row r="39" customFormat="false" ht="15" hidden="false" customHeight="false" outlineLevel="0" collapsed="false">
      <c r="A39" s="7" t="s">
        <v>1127</v>
      </c>
      <c r="B39" s="7" t="s">
        <v>1128</v>
      </c>
      <c r="C39" s="7" t="s">
        <v>965</v>
      </c>
      <c r="D39" s="7" t="s">
        <v>54</v>
      </c>
      <c r="E39" s="7" t="n">
        <v>2</v>
      </c>
      <c r="F39" s="7" t="n">
        <f aca="false">COUNTIF('Test Cases'!$C$2:$C$291,A39)</f>
        <v>4</v>
      </c>
      <c r="G39" s="7" t="s">
        <v>1126</v>
      </c>
      <c r="H39" s="7" t="s">
        <v>1143</v>
      </c>
      <c r="I39" s="7" t="s">
        <v>1937</v>
      </c>
      <c r="J39" s="7" t="n">
        <f aca="false">COUNTIFS('Test Cases'!$C$2:$C$291,A39,'Test Cases'!$O$2:$O$291,"Pass")</f>
        <v>0</v>
      </c>
      <c r="K39" s="7" t="n">
        <f aca="false">COUNTIFS('Test Cases'!$C$2:$C$291,A39,'Test Cases'!$O$2:$O$291,"Fail")</f>
        <v>0</v>
      </c>
      <c r="L39" s="7" t="n">
        <f aca="false">COUNTIFS('Test Cases'!$C$2:$C$291,A39,'Test Cases'!$O$2:$O$291,"Not Run")</f>
        <v>4</v>
      </c>
      <c r="M39" s="7" t="str">
        <f aca="false">IF(K39&gt;0,"Fail",IF(J39=F39,"Pass",IF(L39=F39,"Not Run","In Progress")))</f>
        <v>Not Run</v>
      </c>
    </row>
    <row r="40" customFormat="false" ht="15" hidden="false" customHeight="false" outlineLevel="0" collapsed="false">
      <c r="A40" s="7" t="s">
        <v>1149</v>
      </c>
      <c r="B40" s="7" t="s">
        <v>1150</v>
      </c>
      <c r="C40" s="7" t="s">
        <v>965</v>
      </c>
      <c r="D40" s="7" t="s">
        <v>57</v>
      </c>
      <c r="E40" s="7" t="n">
        <v>2</v>
      </c>
      <c r="F40" s="7" t="n">
        <f aca="false">COUNTIF('Test Cases'!$C$2:$C$291,A40)</f>
        <v>4</v>
      </c>
      <c r="G40" s="7" t="s">
        <v>1148</v>
      </c>
      <c r="H40" s="7" t="s">
        <v>1165</v>
      </c>
      <c r="I40" s="7" t="s">
        <v>1716</v>
      </c>
      <c r="J40" s="7" t="n">
        <f aca="false">COUNTIFS('Test Cases'!$C$2:$C$291,A40,'Test Cases'!$O$2:$O$291,"Pass")</f>
        <v>0</v>
      </c>
      <c r="K40" s="7" t="n">
        <f aca="false">COUNTIFS('Test Cases'!$C$2:$C$291,A40,'Test Cases'!$O$2:$O$291,"Fail")</f>
        <v>0</v>
      </c>
      <c r="L40" s="7" t="n">
        <f aca="false">COUNTIFS('Test Cases'!$C$2:$C$291,A40,'Test Cases'!$O$2:$O$291,"Not Run")</f>
        <v>4</v>
      </c>
      <c r="M40" s="7" t="str">
        <f aca="false">IF(K40&gt;0,"Fail",IF(J40=F40,"Pass",IF(L40=F40,"Not Run","In Progress")))</f>
        <v>Not Run</v>
      </c>
    </row>
    <row r="41" customFormat="false" ht="15" hidden="false" customHeight="false" outlineLevel="0" collapsed="false">
      <c r="A41" s="7" t="s">
        <v>1171</v>
      </c>
      <c r="B41" s="7" t="s">
        <v>1172</v>
      </c>
      <c r="C41" s="7" t="s">
        <v>1170</v>
      </c>
      <c r="D41" s="7" t="s">
        <v>55</v>
      </c>
      <c r="E41" s="7" t="n">
        <v>2</v>
      </c>
      <c r="F41" s="7" t="n">
        <f aca="false">COUNTIF('Test Cases'!$C$2:$C$291,A41)</f>
        <v>4</v>
      </c>
      <c r="G41" s="7" t="s">
        <v>1169</v>
      </c>
      <c r="H41" s="7" t="s">
        <v>1187</v>
      </c>
      <c r="I41" s="7" t="s">
        <v>2013</v>
      </c>
      <c r="J41" s="7" t="n">
        <f aca="false">COUNTIFS('Test Cases'!$C$2:$C$291,A41,'Test Cases'!$O$2:$O$291,"Pass")</f>
        <v>0</v>
      </c>
      <c r="K41" s="7" t="n">
        <f aca="false">COUNTIFS('Test Cases'!$C$2:$C$291,A41,'Test Cases'!$O$2:$O$291,"Fail")</f>
        <v>0</v>
      </c>
      <c r="L41" s="7" t="n">
        <f aca="false">COUNTIFS('Test Cases'!$C$2:$C$291,A41,'Test Cases'!$O$2:$O$291,"Not Run")</f>
        <v>4</v>
      </c>
      <c r="M41" s="7" t="str">
        <f aca="false">IF(K41&gt;0,"Fail",IF(J41=F41,"Pass",IF(L41=F41,"Not Run","In Progress")))</f>
        <v>Not Run</v>
      </c>
    </row>
    <row r="42" customFormat="false" ht="15" hidden="false" customHeight="false" outlineLevel="0" collapsed="false">
      <c r="A42" s="7" t="s">
        <v>1192</v>
      </c>
      <c r="B42" s="7" t="s">
        <v>1193</v>
      </c>
      <c r="C42" s="7" t="s">
        <v>1170</v>
      </c>
      <c r="D42" s="7" t="s">
        <v>56</v>
      </c>
      <c r="E42" s="7" t="n">
        <v>2</v>
      </c>
      <c r="F42" s="7" t="n">
        <f aca="false">COUNTIF('Test Cases'!$C$2:$C$291,A42)</f>
        <v>4</v>
      </c>
      <c r="G42" s="7" t="s">
        <v>1191</v>
      </c>
      <c r="H42" s="7" t="s">
        <v>1209</v>
      </c>
      <c r="I42" s="7" t="s">
        <v>1811</v>
      </c>
      <c r="J42" s="7" t="n">
        <f aca="false">COUNTIFS('Test Cases'!$C$2:$C$291,A42,'Test Cases'!$O$2:$O$291,"Pass")</f>
        <v>0</v>
      </c>
      <c r="K42" s="7" t="n">
        <f aca="false">COUNTIFS('Test Cases'!$C$2:$C$291,A42,'Test Cases'!$O$2:$O$291,"Fail")</f>
        <v>0</v>
      </c>
      <c r="L42" s="7" t="n">
        <f aca="false">COUNTIFS('Test Cases'!$C$2:$C$291,A42,'Test Cases'!$O$2:$O$291,"Not Run")</f>
        <v>4</v>
      </c>
      <c r="M42" s="7" t="str">
        <f aca="false">IF(K42&gt;0,"Fail",IF(J42=F42,"Pass",IF(L42=F42,"Not Run","In Progress")))</f>
        <v>Not Run</v>
      </c>
    </row>
    <row r="43" customFormat="false" ht="15" hidden="false" customHeight="false" outlineLevel="0" collapsed="false">
      <c r="A43" s="7" t="s">
        <v>1214</v>
      </c>
      <c r="B43" s="7" t="s">
        <v>1215</v>
      </c>
      <c r="C43" s="7" t="s">
        <v>1170</v>
      </c>
      <c r="D43" s="7" t="s">
        <v>55</v>
      </c>
      <c r="E43" s="7" t="n">
        <v>2</v>
      </c>
      <c r="F43" s="7" t="n">
        <f aca="false">COUNTIF('Test Cases'!$C$2:$C$291,A43)</f>
        <v>4</v>
      </c>
      <c r="G43" s="7" t="s">
        <v>1213</v>
      </c>
      <c r="H43" s="7" t="s">
        <v>1230</v>
      </c>
      <c r="I43" s="7" t="s">
        <v>1799</v>
      </c>
      <c r="J43" s="7" t="n">
        <f aca="false">COUNTIFS('Test Cases'!$C$2:$C$291,A43,'Test Cases'!$O$2:$O$291,"Pass")</f>
        <v>0</v>
      </c>
      <c r="K43" s="7" t="n">
        <f aca="false">COUNTIFS('Test Cases'!$C$2:$C$291,A43,'Test Cases'!$O$2:$O$291,"Fail")</f>
        <v>0</v>
      </c>
      <c r="L43" s="7" t="n">
        <f aca="false">COUNTIFS('Test Cases'!$C$2:$C$291,A43,'Test Cases'!$O$2:$O$291,"Not Run")</f>
        <v>4</v>
      </c>
      <c r="M43" s="7" t="str">
        <f aca="false">IF(K43&gt;0,"Fail",IF(J43=F43,"Pass",IF(L43=F43,"Not Run","In Progress")))</f>
        <v>Not Run</v>
      </c>
    </row>
    <row r="44" customFormat="false" ht="15" hidden="false" customHeight="false" outlineLevel="0" collapsed="false">
      <c r="A44" s="7" t="s">
        <v>1235</v>
      </c>
      <c r="B44" s="7" t="s">
        <v>1236</v>
      </c>
      <c r="C44" s="7" t="s">
        <v>1170</v>
      </c>
      <c r="D44" s="7" t="s">
        <v>55</v>
      </c>
      <c r="E44" s="7" t="n">
        <v>3</v>
      </c>
      <c r="F44" s="7" t="n">
        <f aca="false">COUNTIF('Test Cases'!$C$2:$C$291,A44)</f>
        <v>6</v>
      </c>
      <c r="G44" s="7" t="s">
        <v>1234</v>
      </c>
      <c r="H44" s="7" t="s">
        <v>1262</v>
      </c>
      <c r="I44" s="7" t="s">
        <v>2014</v>
      </c>
      <c r="J44" s="7" t="n">
        <f aca="false">COUNTIFS('Test Cases'!$C$2:$C$291,A44,'Test Cases'!$O$2:$O$291,"Pass")</f>
        <v>0</v>
      </c>
      <c r="K44" s="7" t="n">
        <f aca="false">COUNTIFS('Test Cases'!$C$2:$C$291,A44,'Test Cases'!$O$2:$O$291,"Fail")</f>
        <v>0</v>
      </c>
      <c r="L44" s="7" t="n">
        <f aca="false">COUNTIFS('Test Cases'!$C$2:$C$291,A44,'Test Cases'!$O$2:$O$291,"Not Run")</f>
        <v>6</v>
      </c>
      <c r="M44" s="7" t="str">
        <f aca="false">IF(K44&gt;0,"Fail",IF(J44=F44,"Pass",IF(L44=F44,"Not Run","In Progress")))</f>
        <v>Not Run</v>
      </c>
    </row>
    <row r="45" customFormat="false" ht="15" hidden="false" customHeight="false" outlineLevel="0" collapsed="false">
      <c r="A45" s="7" t="s">
        <v>1267</v>
      </c>
      <c r="B45" s="7" t="s">
        <v>1268</v>
      </c>
      <c r="C45" s="7" t="s">
        <v>1170</v>
      </c>
      <c r="D45" s="7" t="s">
        <v>56</v>
      </c>
      <c r="E45" s="7" t="n">
        <v>2</v>
      </c>
      <c r="F45" s="7" t="n">
        <f aca="false">COUNTIF('Test Cases'!$C$2:$C$291,A45)</f>
        <v>4</v>
      </c>
      <c r="G45" s="7" t="s">
        <v>1266</v>
      </c>
      <c r="H45" s="7" t="s">
        <v>1284</v>
      </c>
      <c r="I45" s="7" t="s">
        <v>2015</v>
      </c>
      <c r="J45" s="7" t="n">
        <f aca="false">COUNTIFS('Test Cases'!$C$2:$C$291,A45,'Test Cases'!$O$2:$O$291,"Pass")</f>
        <v>0</v>
      </c>
      <c r="K45" s="7" t="n">
        <f aca="false">COUNTIFS('Test Cases'!$C$2:$C$291,A45,'Test Cases'!$O$2:$O$291,"Fail")</f>
        <v>0</v>
      </c>
      <c r="L45" s="7" t="n">
        <f aca="false">COUNTIFS('Test Cases'!$C$2:$C$291,A45,'Test Cases'!$O$2:$O$291,"Not Run")</f>
        <v>4</v>
      </c>
      <c r="M45" s="7" t="str">
        <f aca="false">IF(K45&gt;0,"Fail",IF(J45=F45,"Pass",IF(L45=F45,"Not Run","In Progress")))</f>
        <v>Not Run</v>
      </c>
    </row>
    <row r="46" customFormat="false" ht="15" hidden="false" customHeight="false" outlineLevel="0" collapsed="false">
      <c r="A46" s="7" t="s">
        <v>1289</v>
      </c>
      <c r="B46" s="7" t="s">
        <v>1290</v>
      </c>
      <c r="C46" s="7" t="s">
        <v>1170</v>
      </c>
      <c r="D46" s="7" t="s">
        <v>57</v>
      </c>
      <c r="E46" s="7" t="n">
        <v>2</v>
      </c>
      <c r="F46" s="7" t="n">
        <f aca="false">COUNTIF('Test Cases'!$C$2:$C$291,A46)</f>
        <v>4</v>
      </c>
      <c r="G46" s="7" t="s">
        <v>1288</v>
      </c>
      <c r="H46" s="7" t="s">
        <v>1305</v>
      </c>
      <c r="I46" s="7" t="s">
        <v>2016</v>
      </c>
      <c r="J46" s="7" t="n">
        <f aca="false">COUNTIFS('Test Cases'!$C$2:$C$291,A46,'Test Cases'!$O$2:$O$291,"Pass")</f>
        <v>0</v>
      </c>
      <c r="K46" s="7" t="n">
        <f aca="false">COUNTIFS('Test Cases'!$C$2:$C$291,A46,'Test Cases'!$O$2:$O$291,"Fail")</f>
        <v>0</v>
      </c>
      <c r="L46" s="7" t="n">
        <f aca="false">COUNTIFS('Test Cases'!$C$2:$C$291,A46,'Test Cases'!$O$2:$O$291,"Not Run")</f>
        <v>4</v>
      </c>
      <c r="M46" s="7" t="str">
        <f aca="false">IF(K46&gt;0,"Fail",IF(J46=F46,"Pass",IF(L46=F46,"Not Run","In Progress")))</f>
        <v>Not Run</v>
      </c>
    </row>
    <row r="47" customFormat="false" ht="15" hidden="false" customHeight="false" outlineLevel="0" collapsed="false">
      <c r="A47" s="7" t="s">
        <v>1311</v>
      </c>
      <c r="B47" s="7" t="s">
        <v>1312</v>
      </c>
      <c r="C47" s="7" t="s">
        <v>1310</v>
      </c>
      <c r="D47" s="7" t="s">
        <v>56</v>
      </c>
      <c r="E47" s="7" t="n">
        <v>3</v>
      </c>
      <c r="F47" s="7" t="n">
        <f aca="false">COUNTIF('Test Cases'!$C$2:$C$291,A47)</f>
        <v>6</v>
      </c>
      <c r="G47" s="7" t="s">
        <v>1309</v>
      </c>
      <c r="H47" s="7" t="s">
        <v>1336</v>
      </c>
      <c r="I47" s="7" t="s">
        <v>1894</v>
      </c>
      <c r="J47" s="7" t="n">
        <f aca="false">COUNTIFS('Test Cases'!$C$2:$C$291,A47,'Test Cases'!$O$2:$O$291,"Pass")</f>
        <v>0</v>
      </c>
      <c r="K47" s="7" t="n">
        <f aca="false">COUNTIFS('Test Cases'!$C$2:$C$291,A47,'Test Cases'!$O$2:$O$291,"Fail")</f>
        <v>0</v>
      </c>
      <c r="L47" s="7" t="n">
        <f aca="false">COUNTIFS('Test Cases'!$C$2:$C$291,A47,'Test Cases'!$O$2:$O$291,"Not Run")</f>
        <v>6</v>
      </c>
      <c r="M47" s="7" t="str">
        <f aca="false">IF(K47&gt;0,"Fail",IF(J47=F47,"Pass",IF(L47=F47,"Not Run","In Progress")))</f>
        <v>Not Run</v>
      </c>
    </row>
    <row r="48" customFormat="false" ht="15" hidden="false" customHeight="false" outlineLevel="0" collapsed="false">
      <c r="A48" s="7" t="s">
        <v>1341</v>
      </c>
      <c r="B48" s="7" t="s">
        <v>1342</v>
      </c>
      <c r="C48" s="7" t="s">
        <v>1310</v>
      </c>
      <c r="D48" s="7" t="s">
        <v>56</v>
      </c>
      <c r="E48" s="7" t="n">
        <v>2</v>
      </c>
      <c r="F48" s="7" t="n">
        <f aca="false">COUNTIF('Test Cases'!$C$2:$C$291,A48)</f>
        <v>4</v>
      </c>
      <c r="G48" s="7" t="s">
        <v>1340</v>
      </c>
      <c r="H48" s="7" t="s">
        <v>1357</v>
      </c>
      <c r="I48" s="7" t="s">
        <v>2017</v>
      </c>
      <c r="J48" s="7" t="n">
        <f aca="false">COUNTIFS('Test Cases'!$C$2:$C$291,A48,'Test Cases'!$O$2:$O$291,"Pass")</f>
        <v>0</v>
      </c>
      <c r="K48" s="7" t="n">
        <f aca="false">COUNTIFS('Test Cases'!$C$2:$C$291,A48,'Test Cases'!$O$2:$O$291,"Fail")</f>
        <v>0</v>
      </c>
      <c r="L48" s="7" t="n">
        <f aca="false">COUNTIFS('Test Cases'!$C$2:$C$291,A48,'Test Cases'!$O$2:$O$291,"Not Run")</f>
        <v>4</v>
      </c>
      <c r="M48" s="7" t="str">
        <f aca="false">IF(K48&gt;0,"Fail",IF(J48=F48,"Pass",IF(L48=F48,"Not Run","In Progress")))</f>
        <v>Not Run</v>
      </c>
    </row>
    <row r="49" customFormat="false" ht="15" hidden="false" customHeight="false" outlineLevel="0" collapsed="false">
      <c r="A49" s="7" t="s">
        <v>1362</v>
      </c>
      <c r="B49" s="7" t="s">
        <v>1363</v>
      </c>
      <c r="C49" s="7" t="s">
        <v>1310</v>
      </c>
      <c r="D49" s="7" t="s">
        <v>56</v>
      </c>
      <c r="E49" s="7" t="n">
        <v>2</v>
      </c>
      <c r="F49" s="7" t="n">
        <f aca="false">COUNTIF('Test Cases'!$C$2:$C$291,A49)</f>
        <v>4</v>
      </c>
      <c r="G49" s="7" t="s">
        <v>1361</v>
      </c>
      <c r="H49" s="7" t="s">
        <v>1379</v>
      </c>
      <c r="I49" s="7" t="s">
        <v>2018</v>
      </c>
      <c r="J49" s="7" t="n">
        <f aca="false">COUNTIFS('Test Cases'!$C$2:$C$291,A49,'Test Cases'!$O$2:$O$291,"Pass")</f>
        <v>0</v>
      </c>
      <c r="K49" s="7" t="n">
        <f aca="false">COUNTIFS('Test Cases'!$C$2:$C$291,A49,'Test Cases'!$O$2:$O$291,"Fail")</f>
        <v>0</v>
      </c>
      <c r="L49" s="7" t="n">
        <f aca="false">COUNTIFS('Test Cases'!$C$2:$C$291,A49,'Test Cases'!$O$2:$O$291,"Not Run")</f>
        <v>4</v>
      </c>
      <c r="M49" s="7" t="str">
        <f aca="false">IF(K49&gt;0,"Fail",IF(J49=F49,"Pass",IF(L49=F49,"Not Run","In Progress")))</f>
        <v>Not Run</v>
      </c>
    </row>
    <row r="50" customFormat="false" ht="15" hidden="false" customHeight="false" outlineLevel="0" collapsed="false">
      <c r="A50" s="7" t="s">
        <v>1384</v>
      </c>
      <c r="B50" s="7" t="s">
        <v>1385</v>
      </c>
      <c r="C50" s="7" t="s">
        <v>1310</v>
      </c>
      <c r="D50" s="7" t="s">
        <v>56</v>
      </c>
      <c r="E50" s="7" t="n">
        <v>3</v>
      </c>
      <c r="F50" s="7" t="n">
        <f aca="false">COUNTIF('Test Cases'!$C$2:$C$291,A50)</f>
        <v>6</v>
      </c>
      <c r="G50" s="7" t="s">
        <v>1383</v>
      </c>
      <c r="H50" s="7" t="s">
        <v>1409</v>
      </c>
      <c r="I50" s="7" t="s">
        <v>1716</v>
      </c>
      <c r="J50" s="7" t="n">
        <f aca="false">COUNTIFS('Test Cases'!$C$2:$C$291,A50,'Test Cases'!$O$2:$O$291,"Pass")</f>
        <v>0</v>
      </c>
      <c r="K50" s="7" t="n">
        <f aca="false">COUNTIFS('Test Cases'!$C$2:$C$291,A50,'Test Cases'!$O$2:$O$291,"Fail")</f>
        <v>0</v>
      </c>
      <c r="L50" s="7" t="n">
        <f aca="false">COUNTIFS('Test Cases'!$C$2:$C$291,A50,'Test Cases'!$O$2:$O$291,"Not Run")</f>
        <v>6</v>
      </c>
      <c r="M50" s="7" t="str">
        <f aca="false">IF(K50&gt;0,"Fail",IF(J50=F50,"Pass",IF(L50=F50,"Not Run","In Progress")))</f>
        <v>Not Run</v>
      </c>
    </row>
    <row r="51" customFormat="false" ht="15" hidden="false" customHeight="false" outlineLevel="0" collapsed="false">
      <c r="A51" s="7" t="s">
        <v>1414</v>
      </c>
      <c r="B51" s="7" t="s">
        <v>1415</v>
      </c>
      <c r="C51" s="7" t="s">
        <v>1413</v>
      </c>
      <c r="D51" s="7" t="s">
        <v>56</v>
      </c>
      <c r="E51" s="7" t="n">
        <v>2</v>
      </c>
      <c r="F51" s="7" t="n">
        <f aca="false">COUNTIF('Test Cases'!$C$2:$C$291,A51)</f>
        <v>4</v>
      </c>
      <c r="G51" s="7" t="s">
        <v>1412</v>
      </c>
      <c r="H51" s="7" t="s">
        <v>1430</v>
      </c>
      <c r="I51" s="7" t="s">
        <v>2019</v>
      </c>
      <c r="J51" s="7" t="n">
        <f aca="false">COUNTIFS('Test Cases'!$C$2:$C$291,A51,'Test Cases'!$O$2:$O$291,"Pass")</f>
        <v>0</v>
      </c>
      <c r="K51" s="7" t="n">
        <f aca="false">COUNTIFS('Test Cases'!$C$2:$C$291,A51,'Test Cases'!$O$2:$O$291,"Fail")</f>
        <v>0</v>
      </c>
      <c r="L51" s="7" t="n">
        <f aca="false">COUNTIFS('Test Cases'!$C$2:$C$291,A51,'Test Cases'!$O$2:$O$291,"Not Run")</f>
        <v>4</v>
      </c>
      <c r="M51" s="7" t="str">
        <f aca="false">IF(K51&gt;0,"Fail",IF(J51=F51,"Pass",IF(L51=F51,"Not Run","In Progress")))</f>
        <v>Not Run</v>
      </c>
    </row>
    <row r="52" customFormat="false" ht="15" hidden="false" customHeight="false" outlineLevel="0" collapsed="false">
      <c r="A52" s="7" t="s">
        <v>1436</v>
      </c>
      <c r="B52" s="7" t="s">
        <v>1437</v>
      </c>
      <c r="C52" s="7" t="s">
        <v>1413</v>
      </c>
      <c r="D52" s="7" t="s">
        <v>57</v>
      </c>
      <c r="E52" s="7" t="n">
        <v>2</v>
      </c>
      <c r="F52" s="7" t="n">
        <f aca="false">COUNTIF('Test Cases'!$C$2:$C$291,A52)</f>
        <v>4</v>
      </c>
      <c r="G52" s="7" t="s">
        <v>1435</v>
      </c>
      <c r="H52" s="7" t="s">
        <v>1454</v>
      </c>
      <c r="I52" s="7" t="s">
        <v>1952</v>
      </c>
      <c r="J52" s="7" t="n">
        <f aca="false">COUNTIFS('Test Cases'!$C$2:$C$291,A52,'Test Cases'!$O$2:$O$291,"Pass")</f>
        <v>0</v>
      </c>
      <c r="K52" s="7" t="n">
        <f aca="false">COUNTIFS('Test Cases'!$C$2:$C$291,A52,'Test Cases'!$O$2:$O$291,"Fail")</f>
        <v>0</v>
      </c>
      <c r="L52" s="7" t="n">
        <f aca="false">COUNTIFS('Test Cases'!$C$2:$C$291,A52,'Test Cases'!$O$2:$O$291,"Not Run")</f>
        <v>4</v>
      </c>
      <c r="M52" s="7" t="str">
        <f aca="false">IF(K52&gt;0,"Fail",IF(J52=F52,"Pass",IF(L52=F52,"Not Run","In Progress")))</f>
        <v>Not Run</v>
      </c>
    </row>
    <row r="53" customFormat="false" ht="15" hidden="false" customHeight="false" outlineLevel="0" collapsed="false">
      <c r="A53" s="7" t="s">
        <v>1459</v>
      </c>
      <c r="B53" s="7" t="s">
        <v>1460</v>
      </c>
      <c r="C53" s="7" t="s">
        <v>1413</v>
      </c>
      <c r="D53" s="7" t="s">
        <v>56</v>
      </c>
      <c r="E53" s="7" t="n">
        <v>2</v>
      </c>
      <c r="F53" s="7" t="n">
        <f aca="false">COUNTIF('Test Cases'!$C$2:$C$291,A53)</f>
        <v>4</v>
      </c>
      <c r="G53" s="7" t="s">
        <v>1458</v>
      </c>
      <c r="H53" s="7" t="s">
        <v>1475</v>
      </c>
      <c r="I53" s="7" t="s">
        <v>1977</v>
      </c>
      <c r="J53" s="7" t="n">
        <f aca="false">COUNTIFS('Test Cases'!$C$2:$C$291,A53,'Test Cases'!$O$2:$O$291,"Pass")</f>
        <v>0</v>
      </c>
      <c r="K53" s="7" t="n">
        <f aca="false">COUNTIFS('Test Cases'!$C$2:$C$291,A53,'Test Cases'!$O$2:$O$291,"Fail")</f>
        <v>0</v>
      </c>
      <c r="L53" s="7" t="n">
        <f aca="false">COUNTIFS('Test Cases'!$C$2:$C$291,A53,'Test Cases'!$O$2:$O$291,"Not Run")</f>
        <v>4</v>
      </c>
      <c r="M53" s="7" t="str">
        <f aca="false">IF(K53&gt;0,"Fail",IF(J53=F53,"Pass",IF(L53=F53,"Not Run","In Progress")))</f>
        <v>Not Run</v>
      </c>
    </row>
    <row r="54" customFormat="false" ht="15" hidden="false" customHeight="false" outlineLevel="0" collapsed="false">
      <c r="A54" s="7" t="s">
        <v>1480</v>
      </c>
      <c r="B54" s="7" t="s">
        <v>1481</v>
      </c>
      <c r="C54" s="7" t="s">
        <v>1413</v>
      </c>
      <c r="D54" s="7" t="s">
        <v>57</v>
      </c>
      <c r="E54" s="7" t="n">
        <v>2</v>
      </c>
      <c r="F54" s="7" t="n">
        <f aca="false">COUNTIF('Test Cases'!$C$2:$C$291,A54)</f>
        <v>4</v>
      </c>
      <c r="G54" s="7" t="s">
        <v>1479</v>
      </c>
      <c r="H54" s="7" t="s">
        <v>1496</v>
      </c>
      <c r="I54" s="7" t="s">
        <v>1881</v>
      </c>
      <c r="J54" s="7" t="n">
        <f aca="false">COUNTIFS('Test Cases'!$C$2:$C$291,A54,'Test Cases'!$O$2:$O$291,"Pass")</f>
        <v>0</v>
      </c>
      <c r="K54" s="7" t="n">
        <f aca="false">COUNTIFS('Test Cases'!$C$2:$C$291,A54,'Test Cases'!$O$2:$O$291,"Fail")</f>
        <v>0</v>
      </c>
      <c r="L54" s="7" t="n">
        <f aca="false">COUNTIFS('Test Cases'!$C$2:$C$291,A54,'Test Cases'!$O$2:$O$291,"Not Run")</f>
        <v>4</v>
      </c>
      <c r="M54" s="7" t="str">
        <f aca="false">IF(K54&gt;0,"Fail",IF(J54=F54,"Pass",IF(L54=F54,"Not Run","In Progress")))</f>
        <v>Not Run</v>
      </c>
    </row>
    <row r="55" customFormat="false" ht="15" hidden="false" customHeight="false" outlineLevel="0" collapsed="false">
      <c r="A55" s="7" t="s">
        <v>1502</v>
      </c>
      <c r="B55" s="7" t="s">
        <v>1503</v>
      </c>
      <c r="C55" s="7" t="s">
        <v>1501</v>
      </c>
      <c r="D55" s="7" t="s">
        <v>55</v>
      </c>
      <c r="E55" s="7" t="n">
        <v>2</v>
      </c>
      <c r="F55" s="7" t="n">
        <f aca="false">COUNTIF('Test Cases'!$C$2:$C$291,A55)</f>
        <v>4</v>
      </c>
      <c r="G55" s="7" t="s">
        <v>1500</v>
      </c>
      <c r="H55" s="7" t="s">
        <v>1518</v>
      </c>
      <c r="I55" s="7" t="s">
        <v>1906</v>
      </c>
      <c r="J55" s="7" t="n">
        <f aca="false">COUNTIFS('Test Cases'!$C$2:$C$291,A55,'Test Cases'!$O$2:$O$291,"Pass")</f>
        <v>0</v>
      </c>
      <c r="K55" s="7" t="n">
        <f aca="false">COUNTIFS('Test Cases'!$C$2:$C$291,A55,'Test Cases'!$O$2:$O$291,"Fail")</f>
        <v>0</v>
      </c>
      <c r="L55" s="7" t="n">
        <f aca="false">COUNTIFS('Test Cases'!$C$2:$C$291,A55,'Test Cases'!$O$2:$O$291,"Not Run")</f>
        <v>4</v>
      </c>
      <c r="M55" s="7" t="str">
        <f aca="false">IF(K55&gt;0,"Fail",IF(J55=F55,"Pass",IF(L55=F55,"Not Run","In Progress")))</f>
        <v>Not Run</v>
      </c>
    </row>
    <row r="56" customFormat="false" ht="15" hidden="false" customHeight="false" outlineLevel="0" collapsed="false">
      <c r="A56" s="7" t="s">
        <v>1523</v>
      </c>
      <c r="B56" s="7" t="s">
        <v>1524</v>
      </c>
      <c r="C56" s="7" t="s">
        <v>1501</v>
      </c>
      <c r="D56" s="7" t="s">
        <v>56</v>
      </c>
      <c r="E56" s="7" t="n">
        <v>2</v>
      </c>
      <c r="F56" s="7" t="n">
        <f aca="false">COUNTIF('Test Cases'!$C$2:$C$291,A56)</f>
        <v>4</v>
      </c>
      <c r="G56" s="7" t="s">
        <v>1522</v>
      </c>
      <c r="H56" s="7" t="s">
        <v>1539</v>
      </c>
      <c r="I56" s="7" t="s">
        <v>1965</v>
      </c>
      <c r="J56" s="7" t="n">
        <f aca="false">COUNTIFS('Test Cases'!$C$2:$C$291,A56,'Test Cases'!$O$2:$O$291,"Pass")</f>
        <v>0</v>
      </c>
      <c r="K56" s="7" t="n">
        <f aca="false">COUNTIFS('Test Cases'!$C$2:$C$291,A56,'Test Cases'!$O$2:$O$291,"Fail")</f>
        <v>0</v>
      </c>
      <c r="L56" s="7" t="n">
        <f aca="false">COUNTIFS('Test Cases'!$C$2:$C$291,A56,'Test Cases'!$O$2:$O$291,"Not Run")</f>
        <v>4</v>
      </c>
      <c r="M56" s="7" t="str">
        <f aca="false">IF(K56&gt;0,"Fail",IF(J56=F56,"Pass",IF(L56=F56,"Not Run","In Progress")))</f>
        <v>Not Run</v>
      </c>
    </row>
    <row r="57" customFormat="false" ht="15" hidden="false" customHeight="false" outlineLevel="0" collapsed="false">
      <c r="A57" s="7" t="s">
        <v>1544</v>
      </c>
      <c r="B57" s="7" t="s">
        <v>1545</v>
      </c>
      <c r="C57" s="7" t="s">
        <v>1501</v>
      </c>
      <c r="D57" s="7" t="s">
        <v>56</v>
      </c>
      <c r="E57" s="7" t="n">
        <v>2</v>
      </c>
      <c r="F57" s="7" t="n">
        <f aca="false">COUNTIF('Test Cases'!$C$2:$C$291,A57)</f>
        <v>4</v>
      </c>
      <c r="G57" s="7" t="s">
        <v>1543</v>
      </c>
      <c r="H57" s="7" t="s">
        <v>1560</v>
      </c>
      <c r="I57" s="7" t="s">
        <v>1930</v>
      </c>
      <c r="J57" s="7" t="n">
        <f aca="false">COUNTIFS('Test Cases'!$C$2:$C$291,A57,'Test Cases'!$O$2:$O$291,"Pass")</f>
        <v>0</v>
      </c>
      <c r="K57" s="7" t="n">
        <f aca="false">COUNTIFS('Test Cases'!$C$2:$C$291,A57,'Test Cases'!$O$2:$O$291,"Fail")</f>
        <v>0</v>
      </c>
      <c r="L57" s="7" t="n">
        <f aca="false">COUNTIFS('Test Cases'!$C$2:$C$291,A57,'Test Cases'!$O$2:$O$291,"Not Run")</f>
        <v>4</v>
      </c>
      <c r="M57" s="7" t="str">
        <f aca="false">IF(K57&gt;0,"Fail",IF(J57=F57,"Pass",IF(L57=F57,"Not Run","In Progress")))</f>
        <v>Not Run</v>
      </c>
    </row>
    <row r="58" customFormat="false" ht="15" hidden="false" customHeight="false" outlineLevel="0" collapsed="false">
      <c r="A58" s="7" t="s">
        <v>1565</v>
      </c>
      <c r="B58" s="7" t="s">
        <v>1566</v>
      </c>
      <c r="C58" s="7" t="s">
        <v>1501</v>
      </c>
      <c r="D58" s="7" t="s">
        <v>56</v>
      </c>
      <c r="E58" s="7" t="n">
        <v>3</v>
      </c>
      <c r="F58" s="7" t="n">
        <f aca="false">COUNTIF('Test Cases'!$C$2:$C$291,A58)</f>
        <v>6</v>
      </c>
      <c r="G58" s="7" t="s">
        <v>1564</v>
      </c>
      <c r="H58" s="7" t="s">
        <v>1590</v>
      </c>
      <c r="I58" s="7" t="s">
        <v>1918</v>
      </c>
      <c r="J58" s="7" t="n">
        <f aca="false">COUNTIFS('Test Cases'!$C$2:$C$291,A58,'Test Cases'!$O$2:$O$291,"Pass")</f>
        <v>0</v>
      </c>
      <c r="K58" s="7" t="n">
        <f aca="false">COUNTIFS('Test Cases'!$C$2:$C$291,A58,'Test Cases'!$O$2:$O$291,"Fail")</f>
        <v>0</v>
      </c>
      <c r="L58" s="7" t="n">
        <f aca="false">COUNTIFS('Test Cases'!$C$2:$C$291,A58,'Test Cases'!$O$2:$O$291,"Not Run")</f>
        <v>6</v>
      </c>
      <c r="M58" s="7" t="str">
        <f aca="false">IF(K58&gt;0,"Fail",IF(J58=F58,"Pass",IF(L58=F58,"Not Run","In Progress")))</f>
        <v>Not Run</v>
      </c>
    </row>
    <row r="59" customFormat="false" ht="15" hidden="false" customHeight="false" outlineLevel="0" collapsed="false">
      <c r="A59" s="7" t="s">
        <v>1595</v>
      </c>
      <c r="B59" s="7" t="s">
        <v>1596</v>
      </c>
      <c r="C59" s="7" t="s">
        <v>1501</v>
      </c>
      <c r="D59" s="7" t="s">
        <v>54</v>
      </c>
      <c r="E59" s="7" t="n">
        <v>3</v>
      </c>
      <c r="F59" s="7" t="n">
        <f aca="false">COUNTIF('Test Cases'!$C$2:$C$291,A59)</f>
        <v>6</v>
      </c>
      <c r="G59" s="7" t="s">
        <v>1594</v>
      </c>
      <c r="H59" s="7" t="s">
        <v>1621</v>
      </c>
      <c r="I59" s="7" t="s">
        <v>1937</v>
      </c>
      <c r="J59" s="7" t="n">
        <f aca="false">COUNTIFS('Test Cases'!$C$2:$C$291,A59,'Test Cases'!$O$2:$O$291,"Pass")</f>
        <v>0</v>
      </c>
      <c r="K59" s="7" t="n">
        <f aca="false">COUNTIFS('Test Cases'!$C$2:$C$291,A59,'Test Cases'!$O$2:$O$291,"Fail")</f>
        <v>0</v>
      </c>
      <c r="L59" s="7" t="n">
        <f aca="false">COUNTIFS('Test Cases'!$C$2:$C$291,A59,'Test Cases'!$O$2:$O$291,"Not Run")</f>
        <v>6</v>
      </c>
      <c r="M59" s="7" t="str">
        <f aca="false">IF(K59&gt;0,"Fail",IF(J59=F59,"Pass",IF(L59=F59,"Not Run","In Progress")))</f>
        <v>Not Run</v>
      </c>
    </row>
    <row r="60" customFormat="false" ht="15" hidden="false" customHeight="false" outlineLevel="0" collapsed="false">
      <c r="A60" s="7" t="s">
        <v>1626</v>
      </c>
      <c r="B60" s="7" t="s">
        <v>1627</v>
      </c>
      <c r="C60" s="7" t="s">
        <v>1501</v>
      </c>
      <c r="D60" s="7" t="s">
        <v>56</v>
      </c>
      <c r="E60" s="7" t="n">
        <v>2</v>
      </c>
      <c r="F60" s="7" t="n">
        <f aca="false">COUNTIF('Test Cases'!$C$2:$C$291,A60)</f>
        <v>4</v>
      </c>
      <c r="G60" s="7" t="s">
        <v>1625</v>
      </c>
      <c r="H60" s="7" t="s">
        <v>1642</v>
      </c>
      <c r="I60" s="7" t="s">
        <v>2020</v>
      </c>
      <c r="J60" s="7" t="n">
        <f aca="false">COUNTIFS('Test Cases'!$C$2:$C$291,A60,'Test Cases'!$O$2:$O$291,"Pass")</f>
        <v>0</v>
      </c>
      <c r="K60" s="7" t="n">
        <f aca="false">COUNTIFS('Test Cases'!$C$2:$C$291,A60,'Test Cases'!$O$2:$O$291,"Fail")</f>
        <v>0</v>
      </c>
      <c r="L60" s="7" t="n">
        <f aca="false">COUNTIFS('Test Cases'!$C$2:$C$291,A60,'Test Cases'!$O$2:$O$291,"Not Run")</f>
        <v>4</v>
      </c>
      <c r="M60" s="7" t="str">
        <f aca="false">IF(K60&gt;0,"Fail",IF(J60=F60,"Pass",IF(L60=F60,"Not Run","In Progress")))</f>
        <v>Not Run</v>
      </c>
    </row>
    <row r="61" customFormat="false" ht="15" hidden="false" customHeight="false" outlineLevel="0" collapsed="false">
      <c r="A61" s="7" t="s">
        <v>1647</v>
      </c>
      <c r="B61" s="7" t="s">
        <v>1648</v>
      </c>
      <c r="C61" s="7" t="s">
        <v>1501</v>
      </c>
      <c r="D61" s="7" t="s">
        <v>57</v>
      </c>
      <c r="E61" s="7" t="n">
        <v>2</v>
      </c>
      <c r="F61" s="7" t="n">
        <f aca="false">COUNTIF('Test Cases'!$C$2:$C$291,A61)</f>
        <v>4</v>
      </c>
      <c r="G61" s="7" t="s">
        <v>1646</v>
      </c>
      <c r="H61" s="7" t="s">
        <v>1663</v>
      </c>
      <c r="I61" s="7" t="s">
        <v>1952</v>
      </c>
      <c r="J61" s="7" t="n">
        <f aca="false">COUNTIFS('Test Cases'!$C$2:$C$291,A61,'Test Cases'!$O$2:$O$291,"Pass")</f>
        <v>0</v>
      </c>
      <c r="K61" s="7" t="n">
        <f aca="false">COUNTIFS('Test Cases'!$C$2:$C$291,A61,'Test Cases'!$O$2:$O$291,"Fail")</f>
        <v>0</v>
      </c>
      <c r="L61" s="7" t="n">
        <f aca="false">COUNTIFS('Test Cases'!$C$2:$C$291,A61,'Test Cases'!$O$2:$O$291,"Not Run")</f>
        <v>4</v>
      </c>
      <c r="M61" s="7" t="str">
        <f aca="false">IF(K61&gt;0,"Fail",IF(J61=F61,"Pass",IF(L61=F61,"Not Run","In Progress")))</f>
        <v>Not Run</v>
      </c>
    </row>
  </sheetData>
  <conditionalFormatting sqref="M2:M6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8">
      <formula>"Deferred"</formula>
    </cfRule>
  </conditionalFormatting>
  <dataValidations count="1">
    <dataValidation allowBlank="false" errorStyle="stop" operator="between" showDropDown="false" showErrorMessage="false" showInputMessage="false" sqref="M2:M61" type="list">
      <formula1>"Not Run,Pass,Fail,Blocked,Deferred"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2026-09-25T15:11:11Z</dcterms:created>
  <dc:creator>openpyxl</dc:creator>
  <dc:description/>
  <dc:language>en-US</dc:language>
  <cp:lastModifiedBy/>
  <dcterms:modified xsi:type="dcterms:W3CDTF">2026-09-25T15:11:12Z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